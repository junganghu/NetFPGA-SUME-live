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NetFPGA\Infrastructure\latency\"/>
    </mc:Choice>
  </mc:AlternateContent>
  <bookViews>
    <workbookView xWindow="0" yWindow="0" windowWidth="14376" windowHeight="6024" firstSheet="1" activeTab="1"/>
  </bookViews>
  <sheets>
    <sheet name="New Module Generator" sheetId="1" r:id="rId1"/>
    <sheet name="Registers Generator" sheetId="2" r:id="rId2"/>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3" i="2" l="1"/>
  <c r="C6" i="2" l="1"/>
  <c r="C7" i="2" s="1"/>
  <c r="C8" i="2" s="1"/>
  <c r="C13" i="2" s="1"/>
  <c r="C14" i="2" s="1"/>
  <c r="C15" i="2" s="1"/>
  <c r="C18" i="2" s="1"/>
  <c r="C21" i="2" s="1"/>
</calcChain>
</file>

<file path=xl/comments1.xml><?xml version="1.0" encoding="utf-8"?>
<comments xmlns="http://schemas.openxmlformats.org/spreadsheetml/2006/main">
  <authors>
    <author>User</author>
  </authors>
  <commentList>
    <comment ref="D2" authorId="0" shapeId="0">
      <text>
        <r>
          <rPr>
            <sz val="9"/>
            <color indexed="81"/>
            <rFont val="Tahoma"/>
            <family val="2"/>
          </rPr>
          <t>A unique name of the module</t>
        </r>
      </text>
    </comment>
    <comment ref="H4" authorId="0" shapeId="0">
      <text>
        <r>
          <rPr>
            <sz val="9"/>
            <color indexed="81"/>
            <rFont val="Tahoma"/>
            <family val="2"/>
          </rPr>
          <t xml:space="preserve">RO - Read Only
ROC - Read Only Clear
WO - Write Only
WOE - Write Only Event
RWS - Read/Write by SW
RWA - Read/Write by HW and SW
RWCR - Read/Write clear on read
RWCW - Read/Write clear on write
RWI - Read/Write internal, by SW
</t>
        </r>
      </text>
    </comment>
  </commentList>
</comments>
</file>

<file path=xl/sharedStrings.xml><?xml version="1.0" encoding="utf-8"?>
<sst xmlns="http://schemas.openxmlformats.org/spreadsheetml/2006/main" count="227" uniqueCount="127">
  <si>
    <t>NF10 New Module Generator</t>
  </si>
  <si>
    <t>Module name:</t>
  </si>
  <si>
    <t>Number of S_AXIS inputs:</t>
  </si>
  <si>
    <t>Number of M_AXIS outputs:</t>
  </si>
  <si>
    <t>AXIS Ports</t>
  </si>
  <si>
    <t>Registers</t>
  </si>
  <si>
    <t>Number of RO Registers :</t>
  </si>
  <si>
    <t>Number of RW Registers:</t>
  </si>
  <si>
    <t>Number of WO Registers:</t>
  </si>
  <si>
    <t>Base Address:</t>
  </si>
  <si>
    <t>Use tables:</t>
  </si>
  <si>
    <t>Base pipe:</t>
  </si>
  <si>
    <t>Previous module:</t>
  </si>
  <si>
    <t>Next Module:</t>
  </si>
  <si>
    <t>Connectivity</t>
  </si>
  <si>
    <t>Number of table entries:</t>
  </si>
  <si>
    <t>Manual base Address:</t>
  </si>
  <si>
    <t>Module Version:</t>
  </si>
  <si>
    <t>Instantiated modules</t>
  </si>
  <si>
    <t>Modules 1:</t>
  </si>
  <si>
    <t>Module 2:</t>
  </si>
  <si>
    <t>Number of instantiated modules (w/o registers):</t>
  </si>
  <si>
    <t>Number of base addresses:</t>
  </si>
  <si>
    <t>Pcore version:</t>
  </si>
  <si>
    <t>1.00.a</t>
  </si>
  <si>
    <t>Verilog module name (w/o version)</t>
  </si>
  <si>
    <t>Module version. First version is 1.00.a</t>
  </si>
  <si>
    <t>Number of ingress ports to the module</t>
  </si>
  <si>
    <t>Number of Egress ports from the module</t>
  </si>
  <si>
    <t>0 or more</t>
  </si>
  <si>
    <t>Number of BARs required</t>
  </si>
  <si>
    <t>Select auto to automatically assign the base address, for multiple BARs base addresses will be set by the number of registers continiousely</t>
  </si>
  <si>
    <t>Auto</t>
  </si>
  <si>
    <t>No</t>
  </si>
  <si>
    <t>Reference_NIC</t>
  </si>
  <si>
    <t>Previous module (manual):</t>
  </si>
  <si>
    <t>Next module (manual):</t>
  </si>
  <si>
    <t>Module name (full)</t>
  </si>
  <si>
    <t>2.1.0</t>
  </si>
  <si>
    <t>Project Name:</t>
  </si>
  <si>
    <t>Project name (under /projects)</t>
  </si>
  <si>
    <t>Manual</t>
  </si>
  <si>
    <t>Block</t>
  </si>
  <si>
    <t>Address</t>
  </si>
  <si>
    <t>Description</t>
  </si>
  <si>
    <t>Type</t>
  </si>
  <si>
    <t>Bits</t>
  </si>
  <si>
    <t>Access Mode</t>
  </si>
  <si>
    <t>Default</t>
  </si>
  <si>
    <t>Constraints, Remarks</t>
  </si>
  <si>
    <t>NA</t>
  </si>
  <si>
    <t>Global</t>
  </si>
  <si>
    <t>0</t>
  </si>
  <si>
    <t>1'b0</t>
  </si>
  <si>
    <t>Init</t>
  </si>
  <si>
    <t>Reg</t>
  </si>
  <si>
    <t>Field</t>
  </si>
  <si>
    <t>RO</t>
  </si>
  <si>
    <t>Valid for sub-modules</t>
  </si>
  <si>
    <t xml:space="preserve">When triggered, the module will perform SW reset
</t>
  </si>
  <si>
    <t>ID</t>
  </si>
  <si>
    <t>The ID of the module, to make sure that one accesses the right module</t>
  </si>
  <si>
    <t>31:0</t>
  </si>
  <si>
    <t>32'h0</t>
  </si>
  <si>
    <t>32'h1</t>
  </si>
  <si>
    <t>Version</t>
  </si>
  <si>
    <t>Version of the module</t>
  </si>
  <si>
    <t>Flip</t>
  </si>
  <si>
    <t>The register returns the opposite value of what was written to it</t>
  </si>
  <si>
    <t>RWA</t>
  </si>
  <si>
    <t>Returned value is at reset 32'hFFFFFFFF</t>
  </si>
  <si>
    <t>ROC</t>
  </si>
  <si>
    <t>31'h0</t>
  </si>
  <si>
    <t>30:0</t>
  </si>
  <si>
    <t>Counter Overflow indication</t>
  </si>
  <si>
    <t>Incoming Packets Counter</t>
  </si>
  <si>
    <t>Number of Incoming packets through the module</t>
  </si>
  <si>
    <t>Number of Outgoing packets through the module</t>
  </si>
  <si>
    <t>Debug</t>
  </si>
  <si>
    <t>OS:</t>
  </si>
  <si>
    <t>Windows</t>
  </si>
  <si>
    <t xml:space="preserve"> All rights reserved.</t>
  </si>
  <si>
    <t xml:space="preserve"> @NETFPGA_LICENSE_HEADER_START@</t>
  </si>
  <si>
    <t xml:space="preserve"> @NETFPGA_LICENSE_HEADER_END@</t>
  </si>
  <si>
    <t>Little</t>
  </si>
  <si>
    <t>Endian Type</t>
  </si>
  <si>
    <t>Reset</t>
  </si>
  <si>
    <t>Reset elemens of the module</t>
  </si>
  <si>
    <t>15:0</t>
  </si>
  <si>
    <t>WOE</t>
  </si>
  <si>
    <t>16'h0</t>
  </si>
  <si>
    <t>ClearCounters</t>
  </si>
  <si>
    <t>Asserting this bit, will clear all counters</t>
  </si>
  <si>
    <t>1'h0</t>
  </si>
  <si>
    <t>ResetRegisters</t>
  </si>
  <si>
    <t>Asserting this bit, will reset (return to default value) all registers</t>
  </si>
  <si>
    <t>4</t>
  </si>
  <si>
    <t>RFU</t>
  </si>
  <si>
    <t>Reserved for future use, reset tables</t>
  </si>
  <si>
    <t>8</t>
  </si>
  <si>
    <t>Reserved for future use, reset module</t>
  </si>
  <si>
    <t>12</t>
  </si>
  <si>
    <t xml:space="preserve"> Licensed to NetFPGA C.I.C. (NetFPGA) under one or more contributor  license agreements.  See the NOTICE file distributed with this work for  additional information regarding copyright ownership.  NetFPGA licenses this</t>
  </si>
  <si>
    <t>Copyright © 2015 University of Cambridge</t>
  </si>
  <si>
    <t>This software was developed by Stanford University and the University of Cambridge Computer Laboratory  under National Science Foundation under Grant No. CNS-0855268, the University of Cambridge Computer Laboratory under EPSRC INTERNET Project EP/H040536/1 and by the University of Cambridge Computer Laboratory under DARPA/AFRL contract FA8750-11-C-0249 ("MRC2"), as part of the DARPA MRC research programme.</t>
  </si>
  <si>
    <t xml:space="preserve"> file to you under the NetFPGA Hardware-Software License, Version 1.0 (the  "License"); you may not use this file except in compliance with the  License.  You may obtain a copy of the License at: http://www.netfpga-cic.org/</t>
  </si>
  <si>
    <t xml:space="preserve"> Unless required by applicable law or agreed to in writing, Work distributed  under the License is distributed on an "AS IS" BASIS, WITHOUT WARRANTIES OR  CONDITIONS OF ANY KIND, either express or implied.  See the License for specific language governing permissions and limitations under the License.</t>
  </si>
  <si>
    <t>Debug Regiter, for simulation and debug purposes. Returns the value written to the register plus the default value.</t>
  </si>
  <si>
    <t>PktIn</t>
  </si>
  <si>
    <t>PktInOvf</t>
  </si>
  <si>
    <t>PktOut</t>
  </si>
  <si>
    <t>Outgoing Packets Counter</t>
  </si>
  <si>
    <t>PktrOut</t>
  </si>
  <si>
    <t>PktOutOvf</t>
  </si>
  <si>
    <t>version:</t>
  </si>
  <si>
    <t>2.0</t>
  </si>
  <si>
    <t>RWS</t>
  </si>
  <si>
    <t>RATE_LIMITER</t>
  </si>
  <si>
    <t>rate_limiter</t>
  </si>
  <si>
    <t>RateBase</t>
  </si>
  <si>
    <t>Rate limiter base value</t>
  </si>
  <si>
    <t>Value of the rate_limiter to use in core clocks</t>
  </si>
  <si>
    <t>RateValid</t>
  </si>
  <si>
    <t>Rate limiter valid cycles value</t>
  </si>
  <si>
    <t>valid cycles (in core clocks) to send traffic, out of RateBase.</t>
  </si>
  <si>
    <t>For RateBase=3, RateValid =2, data will be send every 2 out of 3 clocks.</t>
  </si>
  <si>
    <t>32'h0008DEAD</t>
  </si>
</sst>
</file>

<file path=xl/styles.xml><?xml version="1.0" encoding="utf-8"?>
<styleSheet xmlns="http://schemas.openxmlformats.org/spreadsheetml/2006/main" xmlns:mc="http://schemas.openxmlformats.org/markup-compatibility/2006" xmlns:x14ac="http://schemas.microsoft.com/office/spreadsheetml/2009/9/ac" mc:Ignorable="x14ac">
  <fonts count="8">
    <font>
      <sz val="11"/>
      <color theme="1"/>
      <name val="Calibri"/>
      <family val="2"/>
      <charset val="177"/>
      <scheme val="minor"/>
    </font>
    <font>
      <b/>
      <sz val="12"/>
      <color theme="1"/>
      <name val="Calibri"/>
      <family val="2"/>
      <scheme val="minor"/>
    </font>
    <font>
      <b/>
      <u/>
      <sz val="18"/>
      <color theme="1"/>
      <name val="Calibri"/>
      <family val="2"/>
      <scheme val="minor"/>
    </font>
    <font>
      <sz val="11"/>
      <color rgb="FF000000"/>
      <name val="Calibri"/>
      <family val="2"/>
    </font>
    <font>
      <sz val="10"/>
      <name val="Arial"/>
      <family val="2"/>
    </font>
    <font>
      <b/>
      <sz val="10"/>
      <name val="Arial"/>
      <family val="2"/>
    </font>
    <font>
      <sz val="9"/>
      <color indexed="81"/>
      <name val="Tahoma"/>
      <family val="2"/>
    </font>
    <font>
      <sz val="7"/>
      <name val="Arial"/>
      <family val="2"/>
    </font>
  </fonts>
  <fills count="6">
    <fill>
      <patternFill patternType="none"/>
    </fill>
    <fill>
      <patternFill patternType="gray125"/>
    </fill>
    <fill>
      <patternFill patternType="solid">
        <fgColor theme="2" tint="-9.9978637043366805E-2"/>
        <bgColor indexed="64"/>
      </patternFill>
    </fill>
    <fill>
      <patternFill patternType="solid">
        <fgColor rgb="FFCCFFFF"/>
        <bgColor indexed="64"/>
      </patternFill>
    </fill>
    <fill>
      <patternFill patternType="solid">
        <fgColor indexed="47"/>
        <bgColor indexed="64"/>
      </patternFill>
    </fill>
    <fill>
      <patternFill patternType="solid">
        <fgColor indexed="44"/>
        <bgColor indexed="64"/>
      </patternFill>
    </fill>
  </fills>
  <borders count="3">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4" fillId="0" borderId="0"/>
  </cellStyleXfs>
  <cellXfs count="37">
    <xf numFmtId="0" fontId="0" fillId="0" borderId="0" xfId="0"/>
    <xf numFmtId="0" fontId="1" fillId="0" borderId="0" xfId="0" applyFont="1"/>
    <xf numFmtId="0" fontId="0" fillId="2" borderId="1" xfId="0" applyFill="1" applyBorder="1"/>
    <xf numFmtId="0" fontId="0" fillId="3" borderId="1" xfId="0" applyFill="1" applyBorder="1"/>
    <xf numFmtId="0" fontId="2" fillId="0" borderId="0" xfId="0" applyFont="1"/>
    <xf numFmtId="0" fontId="4" fillId="0" borderId="0" xfId="1" applyFont="1" applyAlignment="1">
      <alignment vertical="top"/>
    </xf>
    <xf numFmtId="0" fontId="4" fillId="0" borderId="0" xfId="1" applyFont="1" applyAlignment="1">
      <alignment horizontal="left" vertical="top"/>
    </xf>
    <xf numFmtId="0" fontId="4" fillId="0" borderId="0" xfId="0" applyFont="1" applyAlignment="1">
      <alignment vertical="top" wrapText="1"/>
    </xf>
    <xf numFmtId="49" fontId="4" fillId="0" borderId="0" xfId="1" applyNumberFormat="1" applyFont="1" applyAlignment="1">
      <alignment horizontal="center" vertical="top"/>
    </xf>
    <xf numFmtId="0" fontId="4" fillId="0" borderId="0" xfId="1" applyFont="1" applyAlignment="1">
      <alignment horizontal="center" vertical="top" wrapText="1"/>
    </xf>
    <xf numFmtId="49" fontId="4" fillId="0" borderId="0" xfId="1" applyNumberFormat="1" applyFont="1" applyAlignment="1">
      <alignment horizontal="center" vertical="top" wrapText="1"/>
    </xf>
    <xf numFmtId="0" fontId="0" fillId="0" borderId="0" xfId="0" applyAlignment="1">
      <alignment vertical="top"/>
    </xf>
    <xf numFmtId="0" fontId="0" fillId="5" borderId="2" xfId="0" applyFill="1" applyBorder="1" applyAlignment="1">
      <alignment vertical="top" wrapText="1"/>
    </xf>
    <xf numFmtId="0" fontId="7" fillId="0" borderId="0" xfId="1" applyFont="1"/>
    <xf numFmtId="0" fontId="7" fillId="0" borderId="0" xfId="1" applyFont="1" applyAlignment="1">
      <alignment vertical="top"/>
    </xf>
    <xf numFmtId="0" fontId="0" fillId="5" borderId="2" xfId="0" applyFill="1" applyBorder="1" applyAlignment="1">
      <alignment horizontal="center" vertical="top" wrapText="1"/>
    </xf>
    <xf numFmtId="0" fontId="5" fillId="4" borderId="2" xfId="0" applyFont="1" applyFill="1" applyBorder="1" applyAlignment="1">
      <alignment vertical="top"/>
    </xf>
    <xf numFmtId="0" fontId="5" fillId="4" borderId="2" xfId="0" applyFont="1" applyFill="1" applyBorder="1" applyAlignment="1">
      <alignment horizontal="left" vertical="top"/>
    </xf>
    <xf numFmtId="0" fontId="5" fillId="4" borderId="2" xfId="0" applyFont="1" applyFill="1" applyBorder="1" applyAlignment="1">
      <alignment vertical="top" wrapText="1"/>
    </xf>
    <xf numFmtId="49" fontId="5" fillId="4" borderId="2" xfId="0" applyNumberFormat="1" applyFont="1" applyFill="1" applyBorder="1" applyAlignment="1">
      <alignment horizontal="center" vertical="top"/>
    </xf>
    <xf numFmtId="0" fontId="5" fillId="4" borderId="2" xfId="0" applyFont="1" applyFill="1" applyBorder="1" applyAlignment="1">
      <alignment horizontal="center" vertical="top" wrapText="1"/>
    </xf>
    <xf numFmtId="49" fontId="5" fillId="4" borderId="2" xfId="0" applyNumberFormat="1" applyFont="1" applyFill="1" applyBorder="1" applyAlignment="1">
      <alignment horizontal="center" vertical="top" wrapText="1"/>
    </xf>
    <xf numFmtId="0" fontId="0" fillId="5" borderId="2" xfId="0" applyFill="1" applyBorder="1" applyAlignment="1">
      <alignment vertical="center"/>
    </xf>
    <xf numFmtId="0" fontId="0" fillId="5" borderId="2" xfId="0" applyFill="1" applyBorder="1" applyAlignment="1">
      <alignment vertical="center" wrapText="1"/>
    </xf>
    <xf numFmtId="49" fontId="0" fillId="5" borderId="2" xfId="0" applyNumberFormat="1" applyFill="1" applyBorder="1" applyAlignment="1">
      <alignment vertical="center"/>
    </xf>
    <xf numFmtId="49" fontId="0" fillId="5" borderId="2" xfId="0" applyNumberFormat="1" applyFill="1" applyBorder="1" applyAlignment="1">
      <alignment vertical="center" wrapText="1"/>
    </xf>
    <xf numFmtId="0" fontId="4" fillId="5" borderId="2" xfId="1" applyFont="1" applyFill="1" applyBorder="1" applyAlignment="1">
      <alignment vertical="center"/>
    </xf>
    <xf numFmtId="0" fontId="4" fillId="5" borderId="2" xfId="1" applyFill="1" applyBorder="1" applyAlignment="1">
      <alignment vertical="center"/>
    </xf>
    <xf numFmtId="49" fontId="4" fillId="5" borderId="2" xfId="1" applyNumberFormat="1" applyFont="1" applyFill="1" applyBorder="1" applyAlignment="1">
      <alignment vertical="center"/>
    </xf>
    <xf numFmtId="0" fontId="4" fillId="5" borderId="2" xfId="1" applyFont="1" applyFill="1" applyBorder="1" applyAlignment="1">
      <alignment vertical="center" wrapText="1"/>
    </xf>
    <xf numFmtId="49" fontId="4" fillId="5" borderId="2" xfId="1" applyNumberFormat="1" applyFill="1" applyBorder="1" applyAlignment="1">
      <alignment vertical="center" wrapText="1"/>
    </xf>
    <xf numFmtId="0" fontId="0" fillId="0" borderId="2" xfId="0" applyBorder="1" applyAlignment="1">
      <alignment vertical="center"/>
    </xf>
    <xf numFmtId="0" fontId="4" fillId="0" borderId="2" xfId="1" applyBorder="1" applyAlignment="1">
      <alignment vertical="center"/>
    </xf>
    <xf numFmtId="0" fontId="0" fillId="0" borderId="2" xfId="0" applyBorder="1" applyAlignment="1">
      <alignment vertical="center" wrapText="1"/>
    </xf>
    <xf numFmtId="49" fontId="0" fillId="0" borderId="2" xfId="0" applyNumberFormat="1" applyBorder="1" applyAlignment="1">
      <alignment vertical="center"/>
    </xf>
    <xf numFmtId="49" fontId="4" fillId="0" borderId="2" xfId="1" applyNumberFormat="1" applyBorder="1" applyAlignment="1">
      <alignment vertical="center" wrapText="1"/>
    </xf>
    <xf numFmtId="49" fontId="0" fillId="0" borderId="2" xfId="0" applyNumberFormat="1" applyBorder="1" applyAlignment="1">
      <alignment vertical="center" wrapText="1"/>
    </xf>
  </cellXfs>
  <cellStyles count="2">
    <cellStyle name="Normal" xfId="0" builtinId="0"/>
    <cellStyle name="Normal_qdr_cpu2" xfId="1"/>
  </cellStyles>
  <dxfs count="4">
    <dxf>
      <fill>
        <patternFill>
          <bgColor rgb="FFCCFFFF"/>
        </patternFill>
      </fill>
    </dxf>
    <dxf>
      <fill>
        <patternFill>
          <bgColor rgb="FFCCFFFF"/>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2</xdr:row>
          <xdr:rowOff>0</xdr:rowOff>
        </xdr:from>
        <xdr:to>
          <xdr:col>2</xdr:col>
          <xdr:colOff>7620</xdr:colOff>
          <xdr:row>3</xdr:row>
          <xdr:rowOff>22860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xdr:row>
          <xdr:rowOff>0</xdr:rowOff>
        </xdr:from>
        <xdr:to>
          <xdr:col>4</xdr:col>
          <xdr:colOff>541020</xdr:colOff>
          <xdr:row>3</xdr:row>
          <xdr:rowOff>22860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xdr:row>
          <xdr:rowOff>190500</xdr:rowOff>
        </xdr:from>
        <xdr:to>
          <xdr:col>8</xdr:col>
          <xdr:colOff>228600</xdr:colOff>
          <xdr:row>3</xdr:row>
          <xdr:rowOff>30480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.pao &amp; .mpd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xdr:row>
          <xdr:rowOff>182880</xdr:rowOff>
        </xdr:from>
        <xdr:to>
          <xdr:col>10</xdr:col>
          <xdr:colOff>541020</xdr:colOff>
          <xdr:row>3</xdr:row>
          <xdr:rowOff>7620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.mhs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175260</xdr:rowOff>
        </xdr:from>
        <xdr:to>
          <xdr:col>13</xdr:col>
          <xdr:colOff>541020</xdr:colOff>
          <xdr:row>3</xdr:row>
          <xdr:rowOff>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tree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0</xdr:row>
          <xdr:rowOff>152400</xdr:rowOff>
        </xdr:from>
        <xdr:to>
          <xdr:col>1</xdr:col>
          <xdr:colOff>2209800</xdr:colOff>
          <xdr:row>2</xdr:row>
          <xdr:rowOff>76200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Registers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F56"/>
  <sheetViews>
    <sheetView zoomScale="90" zoomScaleNormal="90" workbookViewId="0">
      <selection activeCell="L34" sqref="L34"/>
    </sheetView>
  </sheetViews>
  <sheetFormatPr defaultRowHeight="14.4"/>
  <cols>
    <col min="1" max="1" width="24.109375" customWidth="1"/>
    <col min="3" max="3" width="12.6640625" customWidth="1"/>
    <col min="4" max="4" width="15" customWidth="1"/>
  </cols>
  <sheetData>
    <row r="1" spans="1:6" ht="23.4">
      <c r="A1" s="4" t="s">
        <v>0</v>
      </c>
    </row>
    <row r="2" spans="1:6" ht="3.75" customHeight="1"/>
    <row r="4" spans="1:6" ht="17.25" customHeight="1"/>
    <row r="5" spans="1:6" ht="3.75" customHeight="1" thickBot="1"/>
    <row r="6" spans="1:6" ht="15" thickBot="1">
      <c r="A6" t="s">
        <v>1</v>
      </c>
      <c r="D6" s="3"/>
      <c r="F6" t="s">
        <v>25</v>
      </c>
    </row>
    <row r="7" spans="1:6" ht="3.75" customHeight="1" thickBot="1"/>
    <row r="8" spans="1:6" ht="15" thickBot="1">
      <c r="A8" t="s">
        <v>17</v>
      </c>
      <c r="D8" s="3" t="s">
        <v>24</v>
      </c>
      <c r="F8" t="s">
        <v>26</v>
      </c>
    </row>
    <row r="9" spans="1:6" ht="3.75" customHeight="1" thickBot="1"/>
    <row r="10" spans="1:6" ht="15" thickBot="1">
      <c r="A10" t="s">
        <v>39</v>
      </c>
      <c r="D10" s="3"/>
      <c r="F10" t="s">
        <v>40</v>
      </c>
    </row>
    <row r="11" spans="1:6" ht="3.75" customHeight="1"/>
    <row r="12" spans="1:6" ht="15.6">
      <c r="A12" s="1" t="s">
        <v>4</v>
      </c>
    </row>
    <row r="13" spans="1:6" ht="3.75" customHeight="1" thickBot="1"/>
    <row r="14" spans="1:6" ht="15" thickBot="1">
      <c r="A14" t="s">
        <v>2</v>
      </c>
      <c r="D14" s="3"/>
      <c r="F14" t="s">
        <v>27</v>
      </c>
    </row>
    <row r="15" spans="1:6" ht="3.75" customHeight="1" thickBot="1"/>
    <row r="16" spans="1:6" ht="15" thickBot="1">
      <c r="A16" t="s">
        <v>3</v>
      </c>
      <c r="D16" s="3"/>
      <c r="F16" t="s">
        <v>28</v>
      </c>
    </row>
    <row r="17" spans="1:6" ht="3.75" customHeight="1"/>
    <row r="18" spans="1:6" ht="15.6">
      <c r="A18" s="1" t="s">
        <v>5</v>
      </c>
    </row>
    <row r="19" spans="1:6" ht="3.75" customHeight="1" thickBot="1"/>
    <row r="20" spans="1:6" ht="15" thickBot="1">
      <c r="A20" t="s">
        <v>6</v>
      </c>
      <c r="D20" s="3"/>
      <c r="F20" t="s">
        <v>29</v>
      </c>
    </row>
    <row r="21" spans="1:6" ht="3.75" customHeight="1" thickBot="1"/>
    <row r="22" spans="1:6" ht="15" thickBot="1">
      <c r="A22" t="s">
        <v>7</v>
      </c>
      <c r="D22" s="3"/>
      <c r="F22" t="s">
        <v>29</v>
      </c>
    </row>
    <row r="23" spans="1:6" ht="3.75" customHeight="1" thickBot="1"/>
    <row r="24" spans="1:6" ht="15" thickBot="1">
      <c r="A24" t="s">
        <v>8</v>
      </c>
      <c r="D24" s="3"/>
      <c r="F24" t="s">
        <v>29</v>
      </c>
    </row>
    <row r="25" spans="1:6" ht="3.75" customHeight="1" thickBot="1"/>
    <row r="26" spans="1:6" ht="15" thickBot="1">
      <c r="A26" t="s">
        <v>22</v>
      </c>
      <c r="D26" s="3"/>
      <c r="F26" t="s">
        <v>30</v>
      </c>
    </row>
    <row r="27" spans="1:6" ht="3.75" customHeight="1" thickBot="1"/>
    <row r="28" spans="1:6" ht="15" thickBot="1">
      <c r="A28" t="s">
        <v>9</v>
      </c>
      <c r="D28" s="3" t="s">
        <v>32</v>
      </c>
      <c r="F28" t="s">
        <v>31</v>
      </c>
    </row>
    <row r="29" spans="1:6" ht="3.75" customHeight="1" thickBot="1"/>
    <row r="30" spans="1:6" ht="15" thickBot="1">
      <c r="A30" t="s">
        <v>16</v>
      </c>
      <c r="D30" s="3"/>
    </row>
    <row r="31" spans="1:6" ht="3.75" customHeight="1" thickBot="1"/>
    <row r="32" spans="1:6" ht="15" thickBot="1">
      <c r="A32" t="s">
        <v>10</v>
      </c>
      <c r="D32" s="3" t="s">
        <v>33</v>
      </c>
    </row>
    <row r="33" spans="1:4" ht="3.75" customHeight="1" thickBot="1"/>
    <row r="34" spans="1:4" ht="15" thickBot="1">
      <c r="A34" t="s">
        <v>15</v>
      </c>
      <c r="D34" s="3"/>
    </row>
    <row r="35" spans="1:4" ht="3.75" customHeight="1"/>
    <row r="36" spans="1:4" ht="15.6">
      <c r="A36" s="1" t="s">
        <v>14</v>
      </c>
    </row>
    <row r="37" spans="1:4" ht="3.75" customHeight="1" thickBot="1"/>
    <row r="38" spans="1:4" ht="15" thickBot="1">
      <c r="A38" t="s">
        <v>11</v>
      </c>
      <c r="D38" s="3" t="s">
        <v>34</v>
      </c>
    </row>
    <row r="39" spans="1:4" ht="3.75" customHeight="1" thickBot="1"/>
    <row r="40" spans="1:4" ht="15" thickBot="1">
      <c r="A40" t="s">
        <v>12</v>
      </c>
      <c r="D40" s="3" t="s">
        <v>41</v>
      </c>
    </row>
    <row r="41" spans="1:4" ht="3.75" customHeight="1" thickBot="1"/>
    <row r="42" spans="1:4" ht="15" thickBot="1">
      <c r="A42" t="s">
        <v>35</v>
      </c>
      <c r="D42" s="2"/>
    </row>
    <row r="43" spans="1:4" ht="3.75" customHeight="1" thickBot="1"/>
    <row r="44" spans="1:4" ht="15" thickBot="1">
      <c r="A44" t="s">
        <v>13</v>
      </c>
      <c r="D44" s="3"/>
    </row>
    <row r="45" spans="1:4" ht="3.75" customHeight="1" thickBot="1"/>
    <row r="46" spans="1:4" ht="15" thickBot="1">
      <c r="A46" t="s">
        <v>36</v>
      </c>
      <c r="D46" s="2"/>
    </row>
    <row r="47" spans="1:4" ht="3.75" customHeight="1"/>
    <row r="48" spans="1:4" ht="15.6">
      <c r="A48" s="1" t="s">
        <v>18</v>
      </c>
    </row>
    <row r="49" spans="1:6" ht="3.75" customHeight="1" thickBot="1"/>
    <row r="50" spans="1:6" ht="15" thickBot="1">
      <c r="A50" t="s">
        <v>21</v>
      </c>
      <c r="D50" s="3"/>
      <c r="F50" t="s">
        <v>29</v>
      </c>
    </row>
    <row r="51" spans="1:6" ht="3.75" customHeight="1" thickBot="1"/>
    <row r="52" spans="1:6" ht="15" thickBot="1">
      <c r="A52" t="s">
        <v>19</v>
      </c>
      <c r="D52" s="3"/>
      <c r="F52" t="s">
        <v>37</v>
      </c>
    </row>
    <row r="53" spans="1:6" ht="3.75" customHeight="1" thickBot="1"/>
    <row r="54" spans="1:6" ht="15" thickBot="1">
      <c r="A54" t="s">
        <v>20</v>
      </c>
      <c r="D54" s="3"/>
      <c r="F54" t="s">
        <v>37</v>
      </c>
    </row>
    <row r="55" spans="1:6" ht="3.75" customHeight="1" thickBot="1"/>
    <row r="56" spans="1:6" ht="15" thickBot="1">
      <c r="A56" t="s">
        <v>23</v>
      </c>
      <c r="D56" s="2" t="s">
        <v>38</v>
      </c>
    </row>
  </sheetData>
  <conditionalFormatting sqref="D30">
    <cfRule type="expression" dxfId="3" priority="5">
      <formula>$D$28="Auto"</formula>
    </cfRule>
  </conditionalFormatting>
  <conditionalFormatting sqref="D34">
    <cfRule type="expression" dxfId="2" priority="4">
      <formula>$D$32="No"</formula>
    </cfRule>
  </conditionalFormatting>
  <conditionalFormatting sqref="D42">
    <cfRule type="expression" dxfId="1" priority="3">
      <formula>($D$40="Manual")</formula>
    </cfRule>
  </conditionalFormatting>
  <conditionalFormatting sqref="D46">
    <cfRule type="expression" dxfId="0" priority="1">
      <formula>($D$44="Manual")</formula>
    </cfRule>
  </conditionalFormatting>
  <dataValidations count="7">
    <dataValidation type="list" allowBlank="1" showInputMessage="1" showErrorMessage="1" sqref="D26">
      <formula1>"0,1,2,3"</formula1>
    </dataValidation>
    <dataValidation type="list" allowBlank="1" showInputMessage="1" showErrorMessage="1" sqref="D28">
      <formula1>"Auto, Manual"</formula1>
    </dataValidation>
    <dataValidation type="list" allowBlank="1" showInputMessage="1" showErrorMessage="1" sqref="D32">
      <formula1>"Yes,No"</formula1>
    </dataValidation>
    <dataValidation type="list" allowBlank="1" showInputMessage="1" showErrorMessage="1" sqref="D38">
      <formula1>"Reference_NIC,Reference_Switch,Reference_Router"</formula1>
    </dataValidation>
    <dataValidation type="list" allowBlank="1" showInputMessage="1" showErrorMessage="1" sqref="G43">
      <formula1>"nf_10g_interface,input_arbiter,OPL,output queues"</formula1>
    </dataValidation>
    <dataValidation type="list" allowBlank="1" showInputMessage="1" showErrorMessage="1" sqref="D44 D40:D41">
      <formula1>"nf_10g_interface,input_arbiter,OPL,output_queues,Manual"</formula1>
    </dataValidation>
    <dataValidation type="list" allowBlank="1" showInputMessage="1" showErrorMessage="1" sqref="D56">
      <formula1>"2.1.0"</formula1>
    </dataValidation>
  </dataValidations>
  <pageMargins left="0.7" right="0.7" top="0.75" bottom="0.75" header="0.3" footer="0.3"/>
  <pageSetup paperSize="9" scale="89" fitToWidth="0"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All">
                <anchor moveWithCells="1" sizeWithCells="1">
                  <from>
                    <xdr:col>0</xdr:col>
                    <xdr:colOff>76200</xdr:colOff>
                    <xdr:row>2</xdr:row>
                    <xdr:rowOff>0</xdr:rowOff>
                  </from>
                  <to>
                    <xdr:col>2</xdr:col>
                    <xdr:colOff>7620</xdr:colOff>
                    <xdr:row>3</xdr:row>
                    <xdr:rowOff>22860</xdr:rowOff>
                  </to>
                </anchor>
              </controlPr>
            </control>
          </mc:Choice>
        </mc:AlternateContent>
        <mc:AlternateContent xmlns:mc="http://schemas.openxmlformats.org/markup-compatibility/2006">
          <mc:Choice Requires="x14">
            <control shapeId="1026" r:id="rId5" name="Button 2">
              <controlPr defaultSize="0" print="0" autoFill="0" autoPict="0" macro="[0]!GenerateAll">
                <anchor moveWithCells="1" sizeWithCells="1">
                  <from>
                    <xdr:col>3</xdr:col>
                    <xdr:colOff>0</xdr:colOff>
                    <xdr:row>2</xdr:row>
                    <xdr:rowOff>0</xdr:rowOff>
                  </from>
                  <to>
                    <xdr:col>4</xdr:col>
                    <xdr:colOff>541020</xdr:colOff>
                    <xdr:row>3</xdr:row>
                    <xdr:rowOff>22860</xdr:rowOff>
                  </to>
                </anchor>
              </controlPr>
            </control>
          </mc:Choice>
        </mc:AlternateContent>
        <mc:AlternateContent xmlns:mc="http://schemas.openxmlformats.org/markup-compatibility/2006">
          <mc:Choice Requires="x14">
            <control shapeId="1027" r:id="rId6" name="Button 3">
              <controlPr defaultSize="0" print="0" autoFill="0" autoPict="0" macro="[0]!GenerateAll">
                <anchor moveWithCells="1" sizeWithCells="1">
                  <from>
                    <xdr:col>6</xdr:col>
                    <xdr:colOff>0</xdr:colOff>
                    <xdr:row>1</xdr:row>
                    <xdr:rowOff>190500</xdr:rowOff>
                  </from>
                  <to>
                    <xdr:col>8</xdr:col>
                    <xdr:colOff>228600</xdr:colOff>
                    <xdr:row>3</xdr:row>
                    <xdr:rowOff>30480</xdr:rowOff>
                  </to>
                </anchor>
              </controlPr>
            </control>
          </mc:Choice>
        </mc:AlternateContent>
        <mc:AlternateContent xmlns:mc="http://schemas.openxmlformats.org/markup-compatibility/2006">
          <mc:Choice Requires="x14">
            <control shapeId="1028" r:id="rId7" name="Button 4">
              <controlPr defaultSize="0" print="0" autoFill="0" autoPict="0" macro="[0]!GenerateAll">
                <anchor moveWithCells="1" sizeWithCells="1">
                  <from>
                    <xdr:col>9</xdr:col>
                    <xdr:colOff>0</xdr:colOff>
                    <xdr:row>1</xdr:row>
                    <xdr:rowOff>182880</xdr:rowOff>
                  </from>
                  <to>
                    <xdr:col>10</xdr:col>
                    <xdr:colOff>541020</xdr:colOff>
                    <xdr:row>3</xdr:row>
                    <xdr:rowOff>7620</xdr:rowOff>
                  </to>
                </anchor>
              </controlPr>
            </control>
          </mc:Choice>
        </mc:AlternateContent>
        <mc:AlternateContent xmlns:mc="http://schemas.openxmlformats.org/markup-compatibility/2006">
          <mc:Choice Requires="x14">
            <control shapeId="1029" r:id="rId8" name="Button 5">
              <controlPr defaultSize="0" print="0" autoFill="0" autoPict="0" macro="[0]!GenerateAll">
                <anchor moveWithCells="1" sizeWithCells="1">
                  <from>
                    <xdr:col>12</xdr:col>
                    <xdr:colOff>0</xdr:colOff>
                    <xdr:row>1</xdr:row>
                    <xdr:rowOff>175260</xdr:rowOff>
                  </from>
                  <to>
                    <xdr:col>13</xdr:col>
                    <xdr:colOff>541020</xdr:colOff>
                    <xdr:row>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24"/>
  <sheetViews>
    <sheetView tabSelected="1" zoomScaleNormal="100" workbookViewId="0">
      <selection activeCell="J6" sqref="J6"/>
    </sheetView>
  </sheetViews>
  <sheetFormatPr defaultRowHeight="13.2"/>
  <cols>
    <col min="1" max="1" width="9" style="5" customWidth="1"/>
    <col min="2" max="2" width="20.109375" style="5" customWidth="1"/>
    <col min="3" max="3" width="9.33203125" style="6" customWidth="1"/>
    <col min="4" max="4" width="50.5546875" style="7" customWidth="1"/>
    <col min="5" max="5" width="7.44140625" style="5" customWidth="1"/>
    <col min="6" max="6" width="10.33203125" style="8" customWidth="1"/>
    <col min="7" max="7" width="7.33203125" style="9" customWidth="1"/>
    <col min="8" max="8" width="8" style="10" customWidth="1"/>
    <col min="9" max="9" width="18.5546875" style="10" customWidth="1"/>
    <col min="10" max="10" width="13.109375" style="5" customWidth="1"/>
    <col min="11" max="11" width="35.88671875" style="5" bestFit="1" customWidth="1"/>
    <col min="12" max="12" width="204.109375" style="5" bestFit="1" customWidth="1"/>
    <col min="13" max="256" width="9.109375" style="5"/>
    <col min="257" max="257" width="6" style="5" customWidth="1"/>
    <col min="258" max="258" width="33.44140625" style="5" bestFit="1" customWidth="1"/>
    <col min="259" max="259" width="14.88671875" style="5" customWidth="1"/>
    <col min="260" max="260" width="44.109375" style="5" customWidth="1"/>
    <col min="261" max="261" width="6.33203125" style="5" customWidth="1"/>
    <col min="262" max="262" width="5.5546875" style="5" customWidth="1"/>
    <col min="263" max="263" width="7.6640625" style="5" customWidth="1"/>
    <col min="264" max="265" width="8.6640625" style="5" customWidth="1"/>
    <col min="266" max="266" width="27.33203125" style="5" customWidth="1"/>
    <col min="267" max="512" width="9.109375" style="5"/>
    <col min="513" max="513" width="6" style="5" customWidth="1"/>
    <col min="514" max="514" width="33.44140625" style="5" bestFit="1" customWidth="1"/>
    <col min="515" max="515" width="14.88671875" style="5" customWidth="1"/>
    <col min="516" max="516" width="44.109375" style="5" customWidth="1"/>
    <col min="517" max="517" width="6.33203125" style="5" customWidth="1"/>
    <col min="518" max="518" width="5.5546875" style="5" customWidth="1"/>
    <col min="519" max="519" width="7.6640625" style="5" customWidth="1"/>
    <col min="520" max="521" width="8.6640625" style="5" customWidth="1"/>
    <col min="522" max="522" width="27.33203125" style="5" customWidth="1"/>
    <col min="523" max="768" width="9.109375" style="5"/>
    <col min="769" max="769" width="6" style="5" customWidth="1"/>
    <col min="770" max="770" width="33.44140625" style="5" bestFit="1" customWidth="1"/>
    <col min="771" max="771" width="14.88671875" style="5" customWidth="1"/>
    <col min="772" max="772" width="44.109375" style="5" customWidth="1"/>
    <col min="773" max="773" width="6.33203125" style="5" customWidth="1"/>
    <col min="774" max="774" width="5.5546875" style="5" customWidth="1"/>
    <col min="775" max="775" width="7.6640625" style="5" customWidth="1"/>
    <col min="776" max="777" width="8.6640625" style="5" customWidth="1"/>
    <col min="778" max="778" width="27.33203125" style="5" customWidth="1"/>
    <col min="779" max="1024" width="9.109375" style="5"/>
    <col min="1025" max="1025" width="6" style="5" customWidth="1"/>
    <col min="1026" max="1026" width="33.44140625" style="5" bestFit="1" customWidth="1"/>
    <col min="1027" max="1027" width="14.88671875" style="5" customWidth="1"/>
    <col min="1028" max="1028" width="44.109375" style="5" customWidth="1"/>
    <col min="1029" max="1029" width="6.33203125" style="5" customWidth="1"/>
    <col min="1030" max="1030" width="5.5546875" style="5" customWidth="1"/>
    <col min="1031" max="1031" width="7.6640625" style="5" customWidth="1"/>
    <col min="1032" max="1033" width="8.6640625" style="5" customWidth="1"/>
    <col min="1034" max="1034" width="27.33203125" style="5" customWidth="1"/>
    <col min="1035" max="1280" width="9.109375" style="5"/>
    <col min="1281" max="1281" width="6" style="5" customWidth="1"/>
    <col min="1282" max="1282" width="33.44140625" style="5" bestFit="1" customWidth="1"/>
    <col min="1283" max="1283" width="14.88671875" style="5" customWidth="1"/>
    <col min="1284" max="1284" width="44.109375" style="5" customWidth="1"/>
    <col min="1285" max="1285" width="6.33203125" style="5" customWidth="1"/>
    <col min="1286" max="1286" width="5.5546875" style="5" customWidth="1"/>
    <col min="1287" max="1287" width="7.6640625" style="5" customWidth="1"/>
    <col min="1288" max="1289" width="8.6640625" style="5" customWidth="1"/>
    <col min="1290" max="1290" width="27.33203125" style="5" customWidth="1"/>
    <col min="1291" max="1536" width="9.109375" style="5"/>
    <col min="1537" max="1537" width="6" style="5" customWidth="1"/>
    <col min="1538" max="1538" width="33.44140625" style="5" bestFit="1" customWidth="1"/>
    <col min="1539" max="1539" width="14.88671875" style="5" customWidth="1"/>
    <col min="1540" max="1540" width="44.109375" style="5" customWidth="1"/>
    <col min="1541" max="1541" width="6.33203125" style="5" customWidth="1"/>
    <col min="1542" max="1542" width="5.5546875" style="5" customWidth="1"/>
    <col min="1543" max="1543" width="7.6640625" style="5" customWidth="1"/>
    <col min="1544" max="1545" width="8.6640625" style="5" customWidth="1"/>
    <col min="1546" max="1546" width="27.33203125" style="5" customWidth="1"/>
    <col min="1547" max="1792" width="9.109375" style="5"/>
    <col min="1793" max="1793" width="6" style="5" customWidth="1"/>
    <col min="1794" max="1794" width="33.44140625" style="5" bestFit="1" customWidth="1"/>
    <col min="1795" max="1795" width="14.88671875" style="5" customWidth="1"/>
    <col min="1796" max="1796" width="44.109375" style="5" customWidth="1"/>
    <col min="1797" max="1797" width="6.33203125" style="5" customWidth="1"/>
    <col min="1798" max="1798" width="5.5546875" style="5" customWidth="1"/>
    <col min="1799" max="1799" width="7.6640625" style="5" customWidth="1"/>
    <col min="1800" max="1801" width="8.6640625" style="5" customWidth="1"/>
    <col min="1802" max="1802" width="27.33203125" style="5" customWidth="1"/>
    <col min="1803" max="2048" width="9.109375" style="5"/>
    <col min="2049" max="2049" width="6" style="5" customWidth="1"/>
    <col min="2050" max="2050" width="33.44140625" style="5" bestFit="1" customWidth="1"/>
    <col min="2051" max="2051" width="14.88671875" style="5" customWidth="1"/>
    <col min="2052" max="2052" width="44.109375" style="5" customWidth="1"/>
    <col min="2053" max="2053" width="6.33203125" style="5" customWidth="1"/>
    <col min="2054" max="2054" width="5.5546875" style="5" customWidth="1"/>
    <col min="2055" max="2055" width="7.6640625" style="5" customWidth="1"/>
    <col min="2056" max="2057" width="8.6640625" style="5" customWidth="1"/>
    <col min="2058" max="2058" width="27.33203125" style="5" customWidth="1"/>
    <col min="2059" max="2304" width="9.109375" style="5"/>
    <col min="2305" max="2305" width="6" style="5" customWidth="1"/>
    <col min="2306" max="2306" width="33.44140625" style="5" bestFit="1" customWidth="1"/>
    <col min="2307" max="2307" width="14.88671875" style="5" customWidth="1"/>
    <col min="2308" max="2308" width="44.109375" style="5" customWidth="1"/>
    <col min="2309" max="2309" width="6.33203125" style="5" customWidth="1"/>
    <col min="2310" max="2310" width="5.5546875" style="5" customWidth="1"/>
    <col min="2311" max="2311" width="7.6640625" style="5" customWidth="1"/>
    <col min="2312" max="2313" width="8.6640625" style="5" customWidth="1"/>
    <col min="2314" max="2314" width="27.33203125" style="5" customWidth="1"/>
    <col min="2315" max="2560" width="9.109375" style="5"/>
    <col min="2561" max="2561" width="6" style="5" customWidth="1"/>
    <col min="2562" max="2562" width="33.44140625" style="5" bestFit="1" customWidth="1"/>
    <col min="2563" max="2563" width="14.88671875" style="5" customWidth="1"/>
    <col min="2564" max="2564" width="44.109375" style="5" customWidth="1"/>
    <col min="2565" max="2565" width="6.33203125" style="5" customWidth="1"/>
    <col min="2566" max="2566" width="5.5546875" style="5" customWidth="1"/>
    <col min="2567" max="2567" width="7.6640625" style="5" customWidth="1"/>
    <col min="2568" max="2569" width="8.6640625" style="5" customWidth="1"/>
    <col min="2570" max="2570" width="27.33203125" style="5" customWidth="1"/>
    <col min="2571" max="2816" width="9.109375" style="5"/>
    <col min="2817" max="2817" width="6" style="5" customWidth="1"/>
    <col min="2818" max="2818" width="33.44140625" style="5" bestFit="1" customWidth="1"/>
    <col min="2819" max="2819" width="14.88671875" style="5" customWidth="1"/>
    <col min="2820" max="2820" width="44.109375" style="5" customWidth="1"/>
    <col min="2821" max="2821" width="6.33203125" style="5" customWidth="1"/>
    <col min="2822" max="2822" width="5.5546875" style="5" customWidth="1"/>
    <col min="2823" max="2823" width="7.6640625" style="5" customWidth="1"/>
    <col min="2824" max="2825" width="8.6640625" style="5" customWidth="1"/>
    <col min="2826" max="2826" width="27.33203125" style="5" customWidth="1"/>
    <col min="2827" max="3072" width="9.109375" style="5"/>
    <col min="3073" max="3073" width="6" style="5" customWidth="1"/>
    <col min="3074" max="3074" width="33.44140625" style="5" bestFit="1" customWidth="1"/>
    <col min="3075" max="3075" width="14.88671875" style="5" customWidth="1"/>
    <col min="3076" max="3076" width="44.109375" style="5" customWidth="1"/>
    <col min="3077" max="3077" width="6.33203125" style="5" customWidth="1"/>
    <col min="3078" max="3078" width="5.5546875" style="5" customWidth="1"/>
    <col min="3079" max="3079" width="7.6640625" style="5" customWidth="1"/>
    <col min="3080" max="3081" width="8.6640625" style="5" customWidth="1"/>
    <col min="3082" max="3082" width="27.33203125" style="5" customWidth="1"/>
    <col min="3083" max="3328" width="9.109375" style="5"/>
    <col min="3329" max="3329" width="6" style="5" customWidth="1"/>
    <col min="3330" max="3330" width="33.44140625" style="5" bestFit="1" customWidth="1"/>
    <col min="3331" max="3331" width="14.88671875" style="5" customWidth="1"/>
    <col min="3332" max="3332" width="44.109375" style="5" customWidth="1"/>
    <col min="3333" max="3333" width="6.33203125" style="5" customWidth="1"/>
    <col min="3334" max="3334" width="5.5546875" style="5" customWidth="1"/>
    <col min="3335" max="3335" width="7.6640625" style="5" customWidth="1"/>
    <col min="3336" max="3337" width="8.6640625" style="5" customWidth="1"/>
    <col min="3338" max="3338" width="27.33203125" style="5" customWidth="1"/>
    <col min="3339" max="3584" width="9.109375" style="5"/>
    <col min="3585" max="3585" width="6" style="5" customWidth="1"/>
    <col min="3586" max="3586" width="33.44140625" style="5" bestFit="1" customWidth="1"/>
    <col min="3587" max="3587" width="14.88671875" style="5" customWidth="1"/>
    <col min="3588" max="3588" width="44.109375" style="5" customWidth="1"/>
    <col min="3589" max="3589" width="6.33203125" style="5" customWidth="1"/>
    <col min="3590" max="3590" width="5.5546875" style="5" customWidth="1"/>
    <col min="3591" max="3591" width="7.6640625" style="5" customWidth="1"/>
    <col min="3592" max="3593" width="8.6640625" style="5" customWidth="1"/>
    <col min="3594" max="3594" width="27.33203125" style="5" customWidth="1"/>
    <col min="3595" max="3840" width="9.109375" style="5"/>
    <col min="3841" max="3841" width="6" style="5" customWidth="1"/>
    <col min="3842" max="3842" width="33.44140625" style="5" bestFit="1" customWidth="1"/>
    <col min="3843" max="3843" width="14.88671875" style="5" customWidth="1"/>
    <col min="3844" max="3844" width="44.109375" style="5" customWidth="1"/>
    <col min="3845" max="3845" width="6.33203125" style="5" customWidth="1"/>
    <col min="3846" max="3846" width="5.5546875" style="5" customWidth="1"/>
    <col min="3847" max="3847" width="7.6640625" style="5" customWidth="1"/>
    <col min="3848" max="3849" width="8.6640625" style="5" customWidth="1"/>
    <col min="3850" max="3850" width="27.33203125" style="5" customWidth="1"/>
    <col min="3851" max="4096" width="9.109375" style="5"/>
    <col min="4097" max="4097" width="6" style="5" customWidth="1"/>
    <col min="4098" max="4098" width="33.44140625" style="5" bestFit="1" customWidth="1"/>
    <col min="4099" max="4099" width="14.88671875" style="5" customWidth="1"/>
    <col min="4100" max="4100" width="44.109375" style="5" customWidth="1"/>
    <col min="4101" max="4101" width="6.33203125" style="5" customWidth="1"/>
    <col min="4102" max="4102" width="5.5546875" style="5" customWidth="1"/>
    <col min="4103" max="4103" width="7.6640625" style="5" customWidth="1"/>
    <col min="4104" max="4105" width="8.6640625" style="5" customWidth="1"/>
    <col min="4106" max="4106" width="27.33203125" style="5" customWidth="1"/>
    <col min="4107" max="4352" width="9.109375" style="5"/>
    <col min="4353" max="4353" width="6" style="5" customWidth="1"/>
    <col min="4354" max="4354" width="33.44140625" style="5" bestFit="1" customWidth="1"/>
    <col min="4355" max="4355" width="14.88671875" style="5" customWidth="1"/>
    <col min="4356" max="4356" width="44.109375" style="5" customWidth="1"/>
    <col min="4357" max="4357" width="6.33203125" style="5" customWidth="1"/>
    <col min="4358" max="4358" width="5.5546875" style="5" customWidth="1"/>
    <col min="4359" max="4359" width="7.6640625" style="5" customWidth="1"/>
    <col min="4360" max="4361" width="8.6640625" style="5" customWidth="1"/>
    <col min="4362" max="4362" width="27.33203125" style="5" customWidth="1"/>
    <col min="4363" max="4608" width="9.109375" style="5"/>
    <col min="4609" max="4609" width="6" style="5" customWidth="1"/>
    <col min="4610" max="4610" width="33.44140625" style="5" bestFit="1" customWidth="1"/>
    <col min="4611" max="4611" width="14.88671875" style="5" customWidth="1"/>
    <col min="4612" max="4612" width="44.109375" style="5" customWidth="1"/>
    <col min="4613" max="4613" width="6.33203125" style="5" customWidth="1"/>
    <col min="4614" max="4614" width="5.5546875" style="5" customWidth="1"/>
    <col min="4615" max="4615" width="7.6640625" style="5" customWidth="1"/>
    <col min="4616" max="4617" width="8.6640625" style="5" customWidth="1"/>
    <col min="4618" max="4618" width="27.33203125" style="5" customWidth="1"/>
    <col min="4619" max="4864" width="9.109375" style="5"/>
    <col min="4865" max="4865" width="6" style="5" customWidth="1"/>
    <col min="4866" max="4866" width="33.44140625" style="5" bestFit="1" customWidth="1"/>
    <col min="4867" max="4867" width="14.88671875" style="5" customWidth="1"/>
    <col min="4868" max="4868" width="44.109375" style="5" customWidth="1"/>
    <col min="4869" max="4869" width="6.33203125" style="5" customWidth="1"/>
    <col min="4870" max="4870" width="5.5546875" style="5" customWidth="1"/>
    <col min="4871" max="4871" width="7.6640625" style="5" customWidth="1"/>
    <col min="4872" max="4873" width="8.6640625" style="5" customWidth="1"/>
    <col min="4874" max="4874" width="27.33203125" style="5" customWidth="1"/>
    <col min="4875" max="5120" width="9.109375" style="5"/>
    <col min="5121" max="5121" width="6" style="5" customWidth="1"/>
    <col min="5122" max="5122" width="33.44140625" style="5" bestFit="1" customWidth="1"/>
    <col min="5123" max="5123" width="14.88671875" style="5" customWidth="1"/>
    <col min="5124" max="5124" width="44.109375" style="5" customWidth="1"/>
    <col min="5125" max="5125" width="6.33203125" style="5" customWidth="1"/>
    <col min="5126" max="5126" width="5.5546875" style="5" customWidth="1"/>
    <col min="5127" max="5127" width="7.6640625" style="5" customWidth="1"/>
    <col min="5128" max="5129" width="8.6640625" style="5" customWidth="1"/>
    <col min="5130" max="5130" width="27.33203125" style="5" customWidth="1"/>
    <col min="5131" max="5376" width="9.109375" style="5"/>
    <col min="5377" max="5377" width="6" style="5" customWidth="1"/>
    <col min="5378" max="5378" width="33.44140625" style="5" bestFit="1" customWidth="1"/>
    <col min="5379" max="5379" width="14.88671875" style="5" customWidth="1"/>
    <col min="5380" max="5380" width="44.109375" style="5" customWidth="1"/>
    <col min="5381" max="5381" width="6.33203125" style="5" customWidth="1"/>
    <col min="5382" max="5382" width="5.5546875" style="5" customWidth="1"/>
    <col min="5383" max="5383" width="7.6640625" style="5" customWidth="1"/>
    <col min="5384" max="5385" width="8.6640625" style="5" customWidth="1"/>
    <col min="5386" max="5386" width="27.33203125" style="5" customWidth="1"/>
    <col min="5387" max="5632" width="9.109375" style="5"/>
    <col min="5633" max="5633" width="6" style="5" customWidth="1"/>
    <col min="5634" max="5634" width="33.44140625" style="5" bestFit="1" customWidth="1"/>
    <col min="5635" max="5635" width="14.88671875" style="5" customWidth="1"/>
    <col min="5636" max="5636" width="44.109375" style="5" customWidth="1"/>
    <col min="5637" max="5637" width="6.33203125" style="5" customWidth="1"/>
    <col min="5638" max="5638" width="5.5546875" style="5" customWidth="1"/>
    <col min="5639" max="5639" width="7.6640625" style="5" customWidth="1"/>
    <col min="5640" max="5641" width="8.6640625" style="5" customWidth="1"/>
    <col min="5642" max="5642" width="27.33203125" style="5" customWidth="1"/>
    <col min="5643" max="5888" width="9.109375" style="5"/>
    <col min="5889" max="5889" width="6" style="5" customWidth="1"/>
    <col min="5890" max="5890" width="33.44140625" style="5" bestFit="1" customWidth="1"/>
    <col min="5891" max="5891" width="14.88671875" style="5" customWidth="1"/>
    <col min="5892" max="5892" width="44.109375" style="5" customWidth="1"/>
    <col min="5893" max="5893" width="6.33203125" style="5" customWidth="1"/>
    <col min="5894" max="5894" width="5.5546875" style="5" customWidth="1"/>
    <col min="5895" max="5895" width="7.6640625" style="5" customWidth="1"/>
    <col min="5896" max="5897" width="8.6640625" style="5" customWidth="1"/>
    <col min="5898" max="5898" width="27.33203125" style="5" customWidth="1"/>
    <col min="5899" max="6144" width="9.109375" style="5"/>
    <col min="6145" max="6145" width="6" style="5" customWidth="1"/>
    <col min="6146" max="6146" width="33.44140625" style="5" bestFit="1" customWidth="1"/>
    <col min="6147" max="6147" width="14.88671875" style="5" customWidth="1"/>
    <col min="6148" max="6148" width="44.109375" style="5" customWidth="1"/>
    <col min="6149" max="6149" width="6.33203125" style="5" customWidth="1"/>
    <col min="6150" max="6150" width="5.5546875" style="5" customWidth="1"/>
    <col min="6151" max="6151" width="7.6640625" style="5" customWidth="1"/>
    <col min="6152" max="6153" width="8.6640625" style="5" customWidth="1"/>
    <col min="6154" max="6154" width="27.33203125" style="5" customWidth="1"/>
    <col min="6155" max="6400" width="9.109375" style="5"/>
    <col min="6401" max="6401" width="6" style="5" customWidth="1"/>
    <col min="6402" max="6402" width="33.44140625" style="5" bestFit="1" customWidth="1"/>
    <col min="6403" max="6403" width="14.88671875" style="5" customWidth="1"/>
    <col min="6404" max="6404" width="44.109375" style="5" customWidth="1"/>
    <col min="6405" max="6405" width="6.33203125" style="5" customWidth="1"/>
    <col min="6406" max="6406" width="5.5546875" style="5" customWidth="1"/>
    <col min="6407" max="6407" width="7.6640625" style="5" customWidth="1"/>
    <col min="6408" max="6409" width="8.6640625" style="5" customWidth="1"/>
    <col min="6410" max="6410" width="27.33203125" style="5" customWidth="1"/>
    <col min="6411" max="6656" width="9.109375" style="5"/>
    <col min="6657" max="6657" width="6" style="5" customWidth="1"/>
    <col min="6658" max="6658" width="33.44140625" style="5" bestFit="1" customWidth="1"/>
    <col min="6659" max="6659" width="14.88671875" style="5" customWidth="1"/>
    <col min="6660" max="6660" width="44.109375" style="5" customWidth="1"/>
    <col min="6661" max="6661" width="6.33203125" style="5" customWidth="1"/>
    <col min="6662" max="6662" width="5.5546875" style="5" customWidth="1"/>
    <col min="6663" max="6663" width="7.6640625" style="5" customWidth="1"/>
    <col min="6664" max="6665" width="8.6640625" style="5" customWidth="1"/>
    <col min="6666" max="6666" width="27.33203125" style="5" customWidth="1"/>
    <col min="6667" max="6912" width="9.109375" style="5"/>
    <col min="6913" max="6913" width="6" style="5" customWidth="1"/>
    <col min="6914" max="6914" width="33.44140625" style="5" bestFit="1" customWidth="1"/>
    <col min="6915" max="6915" width="14.88671875" style="5" customWidth="1"/>
    <col min="6916" max="6916" width="44.109375" style="5" customWidth="1"/>
    <col min="6917" max="6917" width="6.33203125" style="5" customWidth="1"/>
    <col min="6918" max="6918" width="5.5546875" style="5" customWidth="1"/>
    <col min="6919" max="6919" width="7.6640625" style="5" customWidth="1"/>
    <col min="6920" max="6921" width="8.6640625" style="5" customWidth="1"/>
    <col min="6922" max="6922" width="27.33203125" style="5" customWidth="1"/>
    <col min="6923" max="7168" width="9.109375" style="5"/>
    <col min="7169" max="7169" width="6" style="5" customWidth="1"/>
    <col min="7170" max="7170" width="33.44140625" style="5" bestFit="1" customWidth="1"/>
    <col min="7171" max="7171" width="14.88671875" style="5" customWidth="1"/>
    <col min="7172" max="7172" width="44.109375" style="5" customWidth="1"/>
    <col min="7173" max="7173" width="6.33203125" style="5" customWidth="1"/>
    <col min="7174" max="7174" width="5.5546875" style="5" customWidth="1"/>
    <col min="7175" max="7175" width="7.6640625" style="5" customWidth="1"/>
    <col min="7176" max="7177" width="8.6640625" style="5" customWidth="1"/>
    <col min="7178" max="7178" width="27.33203125" style="5" customWidth="1"/>
    <col min="7179" max="7424" width="9.109375" style="5"/>
    <col min="7425" max="7425" width="6" style="5" customWidth="1"/>
    <col min="7426" max="7426" width="33.44140625" style="5" bestFit="1" customWidth="1"/>
    <col min="7427" max="7427" width="14.88671875" style="5" customWidth="1"/>
    <col min="7428" max="7428" width="44.109375" style="5" customWidth="1"/>
    <col min="7429" max="7429" width="6.33203125" style="5" customWidth="1"/>
    <col min="7430" max="7430" width="5.5546875" style="5" customWidth="1"/>
    <col min="7431" max="7431" width="7.6640625" style="5" customWidth="1"/>
    <col min="7432" max="7433" width="8.6640625" style="5" customWidth="1"/>
    <col min="7434" max="7434" width="27.33203125" style="5" customWidth="1"/>
    <col min="7435" max="7680" width="9.109375" style="5"/>
    <col min="7681" max="7681" width="6" style="5" customWidth="1"/>
    <col min="7682" max="7682" width="33.44140625" style="5" bestFit="1" customWidth="1"/>
    <col min="7683" max="7683" width="14.88671875" style="5" customWidth="1"/>
    <col min="7684" max="7684" width="44.109375" style="5" customWidth="1"/>
    <col min="7685" max="7685" width="6.33203125" style="5" customWidth="1"/>
    <col min="7686" max="7686" width="5.5546875" style="5" customWidth="1"/>
    <col min="7687" max="7687" width="7.6640625" style="5" customWidth="1"/>
    <col min="7688" max="7689" width="8.6640625" style="5" customWidth="1"/>
    <col min="7690" max="7690" width="27.33203125" style="5" customWidth="1"/>
    <col min="7691" max="7936" width="9.109375" style="5"/>
    <col min="7937" max="7937" width="6" style="5" customWidth="1"/>
    <col min="7938" max="7938" width="33.44140625" style="5" bestFit="1" customWidth="1"/>
    <col min="7939" max="7939" width="14.88671875" style="5" customWidth="1"/>
    <col min="7940" max="7940" width="44.109375" style="5" customWidth="1"/>
    <col min="7941" max="7941" width="6.33203125" style="5" customWidth="1"/>
    <col min="7942" max="7942" width="5.5546875" style="5" customWidth="1"/>
    <col min="7943" max="7943" width="7.6640625" style="5" customWidth="1"/>
    <col min="7944" max="7945" width="8.6640625" style="5" customWidth="1"/>
    <col min="7946" max="7946" width="27.33203125" style="5" customWidth="1"/>
    <col min="7947" max="8192" width="9.109375" style="5"/>
    <col min="8193" max="8193" width="6" style="5" customWidth="1"/>
    <col min="8194" max="8194" width="33.44140625" style="5" bestFit="1" customWidth="1"/>
    <col min="8195" max="8195" width="14.88671875" style="5" customWidth="1"/>
    <col min="8196" max="8196" width="44.109375" style="5" customWidth="1"/>
    <col min="8197" max="8197" width="6.33203125" style="5" customWidth="1"/>
    <col min="8198" max="8198" width="5.5546875" style="5" customWidth="1"/>
    <col min="8199" max="8199" width="7.6640625" style="5" customWidth="1"/>
    <col min="8200" max="8201" width="8.6640625" style="5" customWidth="1"/>
    <col min="8202" max="8202" width="27.33203125" style="5" customWidth="1"/>
    <col min="8203" max="8448" width="9.109375" style="5"/>
    <col min="8449" max="8449" width="6" style="5" customWidth="1"/>
    <col min="8450" max="8450" width="33.44140625" style="5" bestFit="1" customWidth="1"/>
    <col min="8451" max="8451" width="14.88671875" style="5" customWidth="1"/>
    <col min="8452" max="8452" width="44.109375" style="5" customWidth="1"/>
    <col min="8453" max="8453" width="6.33203125" style="5" customWidth="1"/>
    <col min="8454" max="8454" width="5.5546875" style="5" customWidth="1"/>
    <col min="8455" max="8455" width="7.6640625" style="5" customWidth="1"/>
    <col min="8456" max="8457" width="8.6640625" style="5" customWidth="1"/>
    <col min="8458" max="8458" width="27.33203125" style="5" customWidth="1"/>
    <col min="8459" max="8704" width="9.109375" style="5"/>
    <col min="8705" max="8705" width="6" style="5" customWidth="1"/>
    <col min="8706" max="8706" width="33.44140625" style="5" bestFit="1" customWidth="1"/>
    <col min="8707" max="8707" width="14.88671875" style="5" customWidth="1"/>
    <col min="8708" max="8708" width="44.109375" style="5" customWidth="1"/>
    <col min="8709" max="8709" width="6.33203125" style="5" customWidth="1"/>
    <col min="8710" max="8710" width="5.5546875" style="5" customWidth="1"/>
    <col min="8711" max="8711" width="7.6640625" style="5" customWidth="1"/>
    <col min="8712" max="8713" width="8.6640625" style="5" customWidth="1"/>
    <col min="8714" max="8714" width="27.33203125" style="5" customWidth="1"/>
    <col min="8715" max="8960" width="9.109375" style="5"/>
    <col min="8961" max="8961" width="6" style="5" customWidth="1"/>
    <col min="8962" max="8962" width="33.44140625" style="5" bestFit="1" customWidth="1"/>
    <col min="8963" max="8963" width="14.88671875" style="5" customWidth="1"/>
    <col min="8964" max="8964" width="44.109375" style="5" customWidth="1"/>
    <col min="8965" max="8965" width="6.33203125" style="5" customWidth="1"/>
    <col min="8966" max="8966" width="5.5546875" style="5" customWidth="1"/>
    <col min="8967" max="8967" width="7.6640625" style="5" customWidth="1"/>
    <col min="8968" max="8969" width="8.6640625" style="5" customWidth="1"/>
    <col min="8970" max="8970" width="27.33203125" style="5" customWidth="1"/>
    <col min="8971" max="9216" width="9.109375" style="5"/>
    <col min="9217" max="9217" width="6" style="5" customWidth="1"/>
    <col min="9218" max="9218" width="33.44140625" style="5" bestFit="1" customWidth="1"/>
    <col min="9219" max="9219" width="14.88671875" style="5" customWidth="1"/>
    <col min="9220" max="9220" width="44.109375" style="5" customWidth="1"/>
    <col min="9221" max="9221" width="6.33203125" style="5" customWidth="1"/>
    <col min="9222" max="9222" width="5.5546875" style="5" customWidth="1"/>
    <col min="9223" max="9223" width="7.6640625" style="5" customWidth="1"/>
    <col min="9224" max="9225" width="8.6640625" style="5" customWidth="1"/>
    <col min="9226" max="9226" width="27.33203125" style="5" customWidth="1"/>
    <col min="9227" max="9472" width="9.109375" style="5"/>
    <col min="9473" max="9473" width="6" style="5" customWidth="1"/>
    <col min="9474" max="9474" width="33.44140625" style="5" bestFit="1" customWidth="1"/>
    <col min="9475" max="9475" width="14.88671875" style="5" customWidth="1"/>
    <col min="9476" max="9476" width="44.109375" style="5" customWidth="1"/>
    <col min="9477" max="9477" width="6.33203125" style="5" customWidth="1"/>
    <col min="9478" max="9478" width="5.5546875" style="5" customWidth="1"/>
    <col min="9479" max="9479" width="7.6640625" style="5" customWidth="1"/>
    <col min="9480" max="9481" width="8.6640625" style="5" customWidth="1"/>
    <col min="9482" max="9482" width="27.33203125" style="5" customWidth="1"/>
    <col min="9483" max="9728" width="9.109375" style="5"/>
    <col min="9729" max="9729" width="6" style="5" customWidth="1"/>
    <col min="9730" max="9730" width="33.44140625" style="5" bestFit="1" customWidth="1"/>
    <col min="9731" max="9731" width="14.88671875" style="5" customWidth="1"/>
    <col min="9732" max="9732" width="44.109375" style="5" customWidth="1"/>
    <col min="9733" max="9733" width="6.33203125" style="5" customWidth="1"/>
    <col min="9734" max="9734" width="5.5546875" style="5" customWidth="1"/>
    <col min="9735" max="9735" width="7.6640625" style="5" customWidth="1"/>
    <col min="9736" max="9737" width="8.6640625" style="5" customWidth="1"/>
    <col min="9738" max="9738" width="27.33203125" style="5" customWidth="1"/>
    <col min="9739" max="9984" width="9.109375" style="5"/>
    <col min="9985" max="9985" width="6" style="5" customWidth="1"/>
    <col min="9986" max="9986" width="33.44140625" style="5" bestFit="1" customWidth="1"/>
    <col min="9987" max="9987" width="14.88671875" style="5" customWidth="1"/>
    <col min="9988" max="9988" width="44.109375" style="5" customWidth="1"/>
    <col min="9989" max="9989" width="6.33203125" style="5" customWidth="1"/>
    <col min="9990" max="9990" width="5.5546875" style="5" customWidth="1"/>
    <col min="9991" max="9991" width="7.6640625" style="5" customWidth="1"/>
    <col min="9992" max="9993" width="8.6640625" style="5" customWidth="1"/>
    <col min="9994" max="9994" width="27.33203125" style="5" customWidth="1"/>
    <col min="9995" max="10240" width="9.109375" style="5"/>
    <col min="10241" max="10241" width="6" style="5" customWidth="1"/>
    <col min="10242" max="10242" width="33.44140625" style="5" bestFit="1" customWidth="1"/>
    <col min="10243" max="10243" width="14.88671875" style="5" customWidth="1"/>
    <col min="10244" max="10244" width="44.109375" style="5" customWidth="1"/>
    <col min="10245" max="10245" width="6.33203125" style="5" customWidth="1"/>
    <col min="10246" max="10246" width="5.5546875" style="5" customWidth="1"/>
    <col min="10247" max="10247" width="7.6640625" style="5" customWidth="1"/>
    <col min="10248" max="10249" width="8.6640625" style="5" customWidth="1"/>
    <col min="10250" max="10250" width="27.33203125" style="5" customWidth="1"/>
    <col min="10251" max="10496" width="9.109375" style="5"/>
    <col min="10497" max="10497" width="6" style="5" customWidth="1"/>
    <col min="10498" max="10498" width="33.44140625" style="5" bestFit="1" customWidth="1"/>
    <col min="10499" max="10499" width="14.88671875" style="5" customWidth="1"/>
    <col min="10500" max="10500" width="44.109375" style="5" customWidth="1"/>
    <col min="10501" max="10501" width="6.33203125" style="5" customWidth="1"/>
    <col min="10502" max="10502" width="5.5546875" style="5" customWidth="1"/>
    <col min="10503" max="10503" width="7.6640625" style="5" customWidth="1"/>
    <col min="10504" max="10505" width="8.6640625" style="5" customWidth="1"/>
    <col min="10506" max="10506" width="27.33203125" style="5" customWidth="1"/>
    <col min="10507" max="10752" width="9.109375" style="5"/>
    <col min="10753" max="10753" width="6" style="5" customWidth="1"/>
    <col min="10754" max="10754" width="33.44140625" style="5" bestFit="1" customWidth="1"/>
    <col min="10755" max="10755" width="14.88671875" style="5" customWidth="1"/>
    <col min="10756" max="10756" width="44.109375" style="5" customWidth="1"/>
    <col min="10757" max="10757" width="6.33203125" style="5" customWidth="1"/>
    <col min="10758" max="10758" width="5.5546875" style="5" customWidth="1"/>
    <col min="10759" max="10759" width="7.6640625" style="5" customWidth="1"/>
    <col min="10760" max="10761" width="8.6640625" style="5" customWidth="1"/>
    <col min="10762" max="10762" width="27.33203125" style="5" customWidth="1"/>
    <col min="10763" max="11008" width="9.109375" style="5"/>
    <col min="11009" max="11009" width="6" style="5" customWidth="1"/>
    <col min="11010" max="11010" width="33.44140625" style="5" bestFit="1" customWidth="1"/>
    <col min="11011" max="11011" width="14.88671875" style="5" customWidth="1"/>
    <col min="11012" max="11012" width="44.109375" style="5" customWidth="1"/>
    <col min="11013" max="11013" width="6.33203125" style="5" customWidth="1"/>
    <col min="11014" max="11014" width="5.5546875" style="5" customWidth="1"/>
    <col min="11015" max="11015" width="7.6640625" style="5" customWidth="1"/>
    <col min="11016" max="11017" width="8.6640625" style="5" customWidth="1"/>
    <col min="11018" max="11018" width="27.33203125" style="5" customWidth="1"/>
    <col min="11019" max="11264" width="9.109375" style="5"/>
    <col min="11265" max="11265" width="6" style="5" customWidth="1"/>
    <col min="11266" max="11266" width="33.44140625" style="5" bestFit="1" customWidth="1"/>
    <col min="11267" max="11267" width="14.88671875" style="5" customWidth="1"/>
    <col min="11268" max="11268" width="44.109375" style="5" customWidth="1"/>
    <col min="11269" max="11269" width="6.33203125" style="5" customWidth="1"/>
    <col min="11270" max="11270" width="5.5546875" style="5" customWidth="1"/>
    <col min="11271" max="11271" width="7.6640625" style="5" customWidth="1"/>
    <col min="11272" max="11273" width="8.6640625" style="5" customWidth="1"/>
    <col min="11274" max="11274" width="27.33203125" style="5" customWidth="1"/>
    <col min="11275" max="11520" width="9.109375" style="5"/>
    <col min="11521" max="11521" width="6" style="5" customWidth="1"/>
    <col min="11522" max="11522" width="33.44140625" style="5" bestFit="1" customWidth="1"/>
    <col min="11523" max="11523" width="14.88671875" style="5" customWidth="1"/>
    <col min="11524" max="11524" width="44.109375" style="5" customWidth="1"/>
    <col min="11525" max="11525" width="6.33203125" style="5" customWidth="1"/>
    <col min="11526" max="11526" width="5.5546875" style="5" customWidth="1"/>
    <col min="11527" max="11527" width="7.6640625" style="5" customWidth="1"/>
    <col min="11528" max="11529" width="8.6640625" style="5" customWidth="1"/>
    <col min="11530" max="11530" width="27.33203125" style="5" customWidth="1"/>
    <col min="11531" max="11776" width="9.109375" style="5"/>
    <col min="11777" max="11777" width="6" style="5" customWidth="1"/>
    <col min="11778" max="11778" width="33.44140625" style="5" bestFit="1" customWidth="1"/>
    <col min="11779" max="11779" width="14.88671875" style="5" customWidth="1"/>
    <col min="11780" max="11780" width="44.109375" style="5" customWidth="1"/>
    <col min="11781" max="11781" width="6.33203125" style="5" customWidth="1"/>
    <col min="11782" max="11782" width="5.5546875" style="5" customWidth="1"/>
    <col min="11783" max="11783" width="7.6640625" style="5" customWidth="1"/>
    <col min="11784" max="11785" width="8.6640625" style="5" customWidth="1"/>
    <col min="11786" max="11786" width="27.33203125" style="5" customWidth="1"/>
    <col min="11787" max="12032" width="9.109375" style="5"/>
    <col min="12033" max="12033" width="6" style="5" customWidth="1"/>
    <col min="12034" max="12034" width="33.44140625" style="5" bestFit="1" customWidth="1"/>
    <col min="12035" max="12035" width="14.88671875" style="5" customWidth="1"/>
    <col min="12036" max="12036" width="44.109375" style="5" customWidth="1"/>
    <col min="12037" max="12037" width="6.33203125" style="5" customWidth="1"/>
    <col min="12038" max="12038" width="5.5546875" style="5" customWidth="1"/>
    <col min="12039" max="12039" width="7.6640625" style="5" customWidth="1"/>
    <col min="12040" max="12041" width="8.6640625" style="5" customWidth="1"/>
    <col min="12042" max="12042" width="27.33203125" style="5" customWidth="1"/>
    <col min="12043" max="12288" width="9.109375" style="5"/>
    <col min="12289" max="12289" width="6" style="5" customWidth="1"/>
    <col min="12290" max="12290" width="33.44140625" style="5" bestFit="1" customWidth="1"/>
    <col min="12291" max="12291" width="14.88671875" style="5" customWidth="1"/>
    <col min="12292" max="12292" width="44.109375" style="5" customWidth="1"/>
    <col min="12293" max="12293" width="6.33203125" style="5" customWidth="1"/>
    <col min="12294" max="12294" width="5.5546875" style="5" customWidth="1"/>
    <col min="12295" max="12295" width="7.6640625" style="5" customWidth="1"/>
    <col min="12296" max="12297" width="8.6640625" style="5" customWidth="1"/>
    <col min="12298" max="12298" width="27.33203125" style="5" customWidth="1"/>
    <col min="12299" max="12544" width="9.109375" style="5"/>
    <col min="12545" max="12545" width="6" style="5" customWidth="1"/>
    <col min="12546" max="12546" width="33.44140625" style="5" bestFit="1" customWidth="1"/>
    <col min="12547" max="12547" width="14.88671875" style="5" customWidth="1"/>
    <col min="12548" max="12548" width="44.109375" style="5" customWidth="1"/>
    <col min="12549" max="12549" width="6.33203125" style="5" customWidth="1"/>
    <col min="12550" max="12550" width="5.5546875" style="5" customWidth="1"/>
    <col min="12551" max="12551" width="7.6640625" style="5" customWidth="1"/>
    <col min="12552" max="12553" width="8.6640625" style="5" customWidth="1"/>
    <col min="12554" max="12554" width="27.33203125" style="5" customWidth="1"/>
    <col min="12555" max="12800" width="9.109375" style="5"/>
    <col min="12801" max="12801" width="6" style="5" customWidth="1"/>
    <col min="12802" max="12802" width="33.44140625" style="5" bestFit="1" customWidth="1"/>
    <col min="12803" max="12803" width="14.88671875" style="5" customWidth="1"/>
    <col min="12804" max="12804" width="44.109375" style="5" customWidth="1"/>
    <col min="12805" max="12805" width="6.33203125" style="5" customWidth="1"/>
    <col min="12806" max="12806" width="5.5546875" style="5" customWidth="1"/>
    <col min="12807" max="12807" width="7.6640625" style="5" customWidth="1"/>
    <col min="12808" max="12809" width="8.6640625" style="5" customWidth="1"/>
    <col min="12810" max="12810" width="27.33203125" style="5" customWidth="1"/>
    <col min="12811" max="13056" width="9.109375" style="5"/>
    <col min="13057" max="13057" width="6" style="5" customWidth="1"/>
    <col min="13058" max="13058" width="33.44140625" style="5" bestFit="1" customWidth="1"/>
    <col min="13059" max="13059" width="14.88671875" style="5" customWidth="1"/>
    <col min="13060" max="13060" width="44.109375" style="5" customWidth="1"/>
    <col min="13061" max="13061" width="6.33203125" style="5" customWidth="1"/>
    <col min="13062" max="13062" width="5.5546875" style="5" customWidth="1"/>
    <col min="13063" max="13063" width="7.6640625" style="5" customWidth="1"/>
    <col min="13064" max="13065" width="8.6640625" style="5" customWidth="1"/>
    <col min="13066" max="13066" width="27.33203125" style="5" customWidth="1"/>
    <col min="13067" max="13312" width="9.109375" style="5"/>
    <col min="13313" max="13313" width="6" style="5" customWidth="1"/>
    <col min="13314" max="13314" width="33.44140625" style="5" bestFit="1" customWidth="1"/>
    <col min="13315" max="13315" width="14.88671875" style="5" customWidth="1"/>
    <col min="13316" max="13316" width="44.109375" style="5" customWidth="1"/>
    <col min="13317" max="13317" width="6.33203125" style="5" customWidth="1"/>
    <col min="13318" max="13318" width="5.5546875" style="5" customWidth="1"/>
    <col min="13319" max="13319" width="7.6640625" style="5" customWidth="1"/>
    <col min="13320" max="13321" width="8.6640625" style="5" customWidth="1"/>
    <col min="13322" max="13322" width="27.33203125" style="5" customWidth="1"/>
    <col min="13323" max="13568" width="9.109375" style="5"/>
    <col min="13569" max="13569" width="6" style="5" customWidth="1"/>
    <col min="13570" max="13570" width="33.44140625" style="5" bestFit="1" customWidth="1"/>
    <col min="13571" max="13571" width="14.88671875" style="5" customWidth="1"/>
    <col min="13572" max="13572" width="44.109375" style="5" customWidth="1"/>
    <col min="13573" max="13573" width="6.33203125" style="5" customWidth="1"/>
    <col min="13574" max="13574" width="5.5546875" style="5" customWidth="1"/>
    <col min="13575" max="13575" width="7.6640625" style="5" customWidth="1"/>
    <col min="13576" max="13577" width="8.6640625" style="5" customWidth="1"/>
    <col min="13578" max="13578" width="27.33203125" style="5" customWidth="1"/>
    <col min="13579" max="13824" width="9.109375" style="5"/>
    <col min="13825" max="13825" width="6" style="5" customWidth="1"/>
    <col min="13826" max="13826" width="33.44140625" style="5" bestFit="1" customWidth="1"/>
    <col min="13827" max="13827" width="14.88671875" style="5" customWidth="1"/>
    <col min="13828" max="13828" width="44.109375" style="5" customWidth="1"/>
    <col min="13829" max="13829" width="6.33203125" style="5" customWidth="1"/>
    <col min="13830" max="13830" width="5.5546875" style="5" customWidth="1"/>
    <col min="13831" max="13831" width="7.6640625" style="5" customWidth="1"/>
    <col min="13832" max="13833" width="8.6640625" style="5" customWidth="1"/>
    <col min="13834" max="13834" width="27.33203125" style="5" customWidth="1"/>
    <col min="13835" max="14080" width="9.109375" style="5"/>
    <col min="14081" max="14081" width="6" style="5" customWidth="1"/>
    <col min="14082" max="14082" width="33.44140625" style="5" bestFit="1" customWidth="1"/>
    <col min="14083" max="14083" width="14.88671875" style="5" customWidth="1"/>
    <col min="14084" max="14084" width="44.109375" style="5" customWidth="1"/>
    <col min="14085" max="14085" width="6.33203125" style="5" customWidth="1"/>
    <col min="14086" max="14086" width="5.5546875" style="5" customWidth="1"/>
    <col min="14087" max="14087" width="7.6640625" style="5" customWidth="1"/>
    <col min="14088" max="14089" width="8.6640625" style="5" customWidth="1"/>
    <col min="14090" max="14090" width="27.33203125" style="5" customWidth="1"/>
    <col min="14091" max="14336" width="9.109375" style="5"/>
    <col min="14337" max="14337" width="6" style="5" customWidth="1"/>
    <col min="14338" max="14338" width="33.44140625" style="5" bestFit="1" customWidth="1"/>
    <col min="14339" max="14339" width="14.88671875" style="5" customWidth="1"/>
    <col min="14340" max="14340" width="44.109375" style="5" customWidth="1"/>
    <col min="14341" max="14341" width="6.33203125" style="5" customWidth="1"/>
    <col min="14342" max="14342" width="5.5546875" style="5" customWidth="1"/>
    <col min="14343" max="14343" width="7.6640625" style="5" customWidth="1"/>
    <col min="14344" max="14345" width="8.6640625" style="5" customWidth="1"/>
    <col min="14346" max="14346" width="27.33203125" style="5" customWidth="1"/>
    <col min="14347" max="14592" width="9.109375" style="5"/>
    <col min="14593" max="14593" width="6" style="5" customWidth="1"/>
    <col min="14594" max="14594" width="33.44140625" style="5" bestFit="1" customWidth="1"/>
    <col min="14595" max="14595" width="14.88671875" style="5" customWidth="1"/>
    <col min="14596" max="14596" width="44.109375" style="5" customWidth="1"/>
    <col min="14597" max="14597" width="6.33203125" style="5" customWidth="1"/>
    <col min="14598" max="14598" width="5.5546875" style="5" customWidth="1"/>
    <col min="14599" max="14599" width="7.6640625" style="5" customWidth="1"/>
    <col min="14600" max="14601" width="8.6640625" style="5" customWidth="1"/>
    <col min="14602" max="14602" width="27.33203125" style="5" customWidth="1"/>
    <col min="14603" max="14848" width="9.109375" style="5"/>
    <col min="14849" max="14849" width="6" style="5" customWidth="1"/>
    <col min="14850" max="14850" width="33.44140625" style="5" bestFit="1" customWidth="1"/>
    <col min="14851" max="14851" width="14.88671875" style="5" customWidth="1"/>
    <col min="14852" max="14852" width="44.109375" style="5" customWidth="1"/>
    <col min="14853" max="14853" width="6.33203125" style="5" customWidth="1"/>
    <col min="14854" max="14854" width="5.5546875" style="5" customWidth="1"/>
    <col min="14855" max="14855" width="7.6640625" style="5" customWidth="1"/>
    <col min="14856" max="14857" width="8.6640625" style="5" customWidth="1"/>
    <col min="14858" max="14858" width="27.33203125" style="5" customWidth="1"/>
    <col min="14859" max="15104" width="9.109375" style="5"/>
    <col min="15105" max="15105" width="6" style="5" customWidth="1"/>
    <col min="15106" max="15106" width="33.44140625" style="5" bestFit="1" customWidth="1"/>
    <col min="15107" max="15107" width="14.88671875" style="5" customWidth="1"/>
    <col min="15108" max="15108" width="44.109375" style="5" customWidth="1"/>
    <col min="15109" max="15109" width="6.33203125" style="5" customWidth="1"/>
    <col min="15110" max="15110" width="5.5546875" style="5" customWidth="1"/>
    <col min="15111" max="15111" width="7.6640625" style="5" customWidth="1"/>
    <col min="15112" max="15113" width="8.6640625" style="5" customWidth="1"/>
    <col min="15114" max="15114" width="27.33203125" style="5" customWidth="1"/>
    <col min="15115" max="15360" width="9.109375" style="5"/>
    <col min="15361" max="15361" width="6" style="5" customWidth="1"/>
    <col min="15362" max="15362" width="33.44140625" style="5" bestFit="1" customWidth="1"/>
    <col min="15363" max="15363" width="14.88671875" style="5" customWidth="1"/>
    <col min="15364" max="15364" width="44.109375" style="5" customWidth="1"/>
    <col min="15365" max="15365" width="6.33203125" style="5" customWidth="1"/>
    <col min="15366" max="15366" width="5.5546875" style="5" customWidth="1"/>
    <col min="15367" max="15367" width="7.6640625" style="5" customWidth="1"/>
    <col min="15368" max="15369" width="8.6640625" style="5" customWidth="1"/>
    <col min="15370" max="15370" width="27.33203125" style="5" customWidth="1"/>
    <col min="15371" max="15616" width="9.109375" style="5"/>
    <col min="15617" max="15617" width="6" style="5" customWidth="1"/>
    <col min="15618" max="15618" width="33.44140625" style="5" bestFit="1" customWidth="1"/>
    <col min="15619" max="15619" width="14.88671875" style="5" customWidth="1"/>
    <col min="15620" max="15620" width="44.109375" style="5" customWidth="1"/>
    <col min="15621" max="15621" width="6.33203125" style="5" customWidth="1"/>
    <col min="15622" max="15622" width="5.5546875" style="5" customWidth="1"/>
    <col min="15623" max="15623" width="7.6640625" style="5" customWidth="1"/>
    <col min="15624" max="15625" width="8.6640625" style="5" customWidth="1"/>
    <col min="15626" max="15626" width="27.33203125" style="5" customWidth="1"/>
    <col min="15627" max="15872" width="9.109375" style="5"/>
    <col min="15873" max="15873" width="6" style="5" customWidth="1"/>
    <col min="15874" max="15874" width="33.44140625" style="5" bestFit="1" customWidth="1"/>
    <col min="15875" max="15875" width="14.88671875" style="5" customWidth="1"/>
    <col min="15876" max="15876" width="44.109375" style="5" customWidth="1"/>
    <col min="15877" max="15877" width="6.33203125" style="5" customWidth="1"/>
    <col min="15878" max="15878" width="5.5546875" style="5" customWidth="1"/>
    <col min="15879" max="15879" width="7.6640625" style="5" customWidth="1"/>
    <col min="15880" max="15881" width="8.6640625" style="5" customWidth="1"/>
    <col min="15882" max="15882" width="27.33203125" style="5" customWidth="1"/>
    <col min="15883" max="16128" width="9.109375" style="5"/>
    <col min="16129" max="16129" width="6" style="5" customWidth="1"/>
    <col min="16130" max="16130" width="33.44140625" style="5" bestFit="1" customWidth="1"/>
    <col min="16131" max="16131" width="14.88671875" style="5" customWidth="1"/>
    <col min="16132" max="16132" width="44.109375" style="5" customWidth="1"/>
    <col min="16133" max="16133" width="6.33203125" style="5" customWidth="1"/>
    <col min="16134" max="16134" width="5.5546875" style="5" customWidth="1"/>
    <col min="16135" max="16135" width="7.6640625" style="5" customWidth="1"/>
    <col min="16136" max="16137" width="8.6640625" style="5" customWidth="1"/>
    <col min="16138" max="16138" width="27.33203125" style="5" customWidth="1"/>
    <col min="16139" max="16384" width="9.109375" style="5"/>
  </cols>
  <sheetData>
    <row r="1" spans="1:12">
      <c r="L1" s="13" t="s">
        <v>103</v>
      </c>
    </row>
    <row r="2" spans="1:12" ht="14.4">
      <c r="E2" s="5" t="s">
        <v>79</v>
      </c>
      <c r="F2" s="12" t="s">
        <v>80</v>
      </c>
      <c r="H2" s="10" t="s">
        <v>114</v>
      </c>
      <c r="I2" s="15" t="s">
        <v>115</v>
      </c>
      <c r="L2" s="13" t="s">
        <v>81</v>
      </c>
    </row>
    <row r="3" spans="1:12">
      <c r="L3" s="14" t="s">
        <v>104</v>
      </c>
    </row>
    <row r="4" spans="1:12" ht="26.4">
      <c r="A4" s="16" t="s">
        <v>42</v>
      </c>
      <c r="B4" s="16"/>
      <c r="C4" s="17" t="s">
        <v>43</v>
      </c>
      <c r="D4" s="18" t="s">
        <v>44</v>
      </c>
      <c r="E4" s="16" t="s">
        <v>45</v>
      </c>
      <c r="F4" s="19" t="s">
        <v>46</v>
      </c>
      <c r="G4" s="20" t="s">
        <v>85</v>
      </c>
      <c r="H4" s="20" t="s">
        <v>47</v>
      </c>
      <c r="I4" s="21" t="s">
        <v>58</v>
      </c>
      <c r="J4" s="21" t="s">
        <v>48</v>
      </c>
      <c r="K4" s="16" t="s">
        <v>49</v>
      </c>
      <c r="L4" s="14" t="s">
        <v>82</v>
      </c>
    </row>
    <row r="5" spans="1:12" s="11" customFormat="1" ht="28.8">
      <c r="A5" s="22" t="s">
        <v>117</v>
      </c>
      <c r="B5" s="22" t="s">
        <v>54</v>
      </c>
      <c r="C5" s="22" t="s">
        <v>50</v>
      </c>
      <c r="D5" s="23" t="s">
        <v>59</v>
      </c>
      <c r="E5" s="22" t="s">
        <v>51</v>
      </c>
      <c r="F5" s="24" t="s">
        <v>52</v>
      </c>
      <c r="G5" s="23" t="s">
        <v>84</v>
      </c>
      <c r="H5" s="23"/>
      <c r="I5" s="22" t="s">
        <v>117</v>
      </c>
      <c r="J5" s="25"/>
      <c r="K5" s="22"/>
      <c r="L5" s="14" t="s">
        <v>102</v>
      </c>
    </row>
    <row r="6" spans="1:12" ht="28.8">
      <c r="A6" s="22" t="s">
        <v>117</v>
      </c>
      <c r="B6" s="22" t="s">
        <v>60</v>
      </c>
      <c r="C6" s="26" t="str">
        <f>DEC2HEX(0)</f>
        <v>0</v>
      </c>
      <c r="D6" s="23" t="s">
        <v>61</v>
      </c>
      <c r="E6" s="27" t="s">
        <v>55</v>
      </c>
      <c r="F6" s="28" t="s">
        <v>62</v>
      </c>
      <c r="G6" s="23" t="s">
        <v>84</v>
      </c>
      <c r="H6" s="29" t="s">
        <v>57</v>
      </c>
      <c r="I6" s="22" t="s">
        <v>117</v>
      </c>
      <c r="J6" s="30" t="s">
        <v>126</v>
      </c>
      <c r="K6" s="27"/>
      <c r="L6" s="14" t="s">
        <v>105</v>
      </c>
    </row>
    <row r="7" spans="1:12" ht="14.4">
      <c r="A7" s="22" t="s">
        <v>117</v>
      </c>
      <c r="B7" s="22" t="s">
        <v>65</v>
      </c>
      <c r="C7" s="26" t="str">
        <f>DEC2HEX(HEX2DEC(C6)+4)</f>
        <v>4</v>
      </c>
      <c r="D7" s="23" t="s">
        <v>66</v>
      </c>
      <c r="E7" s="27" t="s">
        <v>55</v>
      </c>
      <c r="F7" s="28" t="s">
        <v>62</v>
      </c>
      <c r="G7" s="23" t="s">
        <v>84</v>
      </c>
      <c r="H7" s="29" t="s">
        <v>57</v>
      </c>
      <c r="I7" s="22" t="s">
        <v>117</v>
      </c>
      <c r="J7" s="30" t="s">
        <v>64</v>
      </c>
      <c r="K7" s="27"/>
      <c r="L7" s="14" t="s">
        <v>106</v>
      </c>
    </row>
    <row r="8" spans="1:12" ht="14.4">
      <c r="A8" s="22" t="s">
        <v>117</v>
      </c>
      <c r="B8" s="22" t="s">
        <v>86</v>
      </c>
      <c r="C8" s="26" t="str">
        <f t="shared" ref="C8" si="0">DEC2HEX(HEX2DEC(C7)+4)</f>
        <v>8</v>
      </c>
      <c r="D8" s="23" t="s">
        <v>87</v>
      </c>
      <c r="E8" s="27" t="s">
        <v>55</v>
      </c>
      <c r="F8" s="28" t="s">
        <v>88</v>
      </c>
      <c r="G8" s="23" t="s">
        <v>84</v>
      </c>
      <c r="H8" s="29" t="s">
        <v>89</v>
      </c>
      <c r="I8" s="22" t="s">
        <v>117</v>
      </c>
      <c r="J8" s="30" t="s">
        <v>90</v>
      </c>
      <c r="K8" s="27"/>
      <c r="L8" s="14" t="s">
        <v>83</v>
      </c>
    </row>
    <row r="9" spans="1:12" s="11" customFormat="1" ht="14.4">
      <c r="A9" s="31"/>
      <c r="B9" s="31" t="s">
        <v>91</v>
      </c>
      <c r="C9" s="32"/>
      <c r="D9" s="33" t="s">
        <v>92</v>
      </c>
      <c r="E9" s="31" t="s">
        <v>56</v>
      </c>
      <c r="F9" s="34" t="s">
        <v>52</v>
      </c>
      <c r="G9" s="31"/>
      <c r="H9" s="33" t="s">
        <v>89</v>
      </c>
      <c r="I9" s="35" t="s">
        <v>118</v>
      </c>
      <c r="J9" s="36" t="s">
        <v>93</v>
      </c>
      <c r="K9" s="31"/>
    </row>
    <row r="10" spans="1:12" s="11" customFormat="1" ht="28.8">
      <c r="A10" s="31"/>
      <c r="B10" s="31" t="s">
        <v>94</v>
      </c>
      <c r="C10" s="32"/>
      <c r="D10" s="33" t="s">
        <v>95</v>
      </c>
      <c r="E10" s="31" t="s">
        <v>56</v>
      </c>
      <c r="F10" s="34" t="s">
        <v>96</v>
      </c>
      <c r="G10" s="31"/>
      <c r="H10" s="33" t="s">
        <v>89</v>
      </c>
      <c r="I10" s="35" t="s">
        <v>118</v>
      </c>
      <c r="J10" s="36" t="s">
        <v>93</v>
      </c>
      <c r="K10" s="31"/>
    </row>
    <row r="11" spans="1:12" s="11" customFormat="1" ht="14.4">
      <c r="A11" s="31"/>
      <c r="B11" s="31" t="s">
        <v>97</v>
      </c>
      <c r="C11" s="32"/>
      <c r="D11" s="33" t="s">
        <v>98</v>
      </c>
      <c r="E11" s="31" t="s">
        <v>56</v>
      </c>
      <c r="F11" s="34" t="s">
        <v>99</v>
      </c>
      <c r="G11" s="31"/>
      <c r="H11" s="33" t="s">
        <v>89</v>
      </c>
      <c r="I11" s="35" t="s">
        <v>118</v>
      </c>
      <c r="J11" s="36" t="s">
        <v>93</v>
      </c>
      <c r="K11" s="31"/>
    </row>
    <row r="12" spans="1:12" s="11" customFormat="1" ht="14.4">
      <c r="A12" s="31"/>
      <c r="B12" s="31" t="s">
        <v>97</v>
      </c>
      <c r="C12" s="32"/>
      <c r="D12" s="33" t="s">
        <v>100</v>
      </c>
      <c r="E12" s="31" t="s">
        <v>56</v>
      </c>
      <c r="F12" s="34" t="s">
        <v>101</v>
      </c>
      <c r="G12" s="31"/>
      <c r="H12" s="33" t="s">
        <v>89</v>
      </c>
      <c r="I12" s="35" t="s">
        <v>118</v>
      </c>
      <c r="J12" s="36" t="s">
        <v>93</v>
      </c>
      <c r="K12" s="31"/>
    </row>
    <row r="13" spans="1:12" s="11" customFormat="1" ht="28.8">
      <c r="A13" s="22" t="s">
        <v>117</v>
      </c>
      <c r="B13" s="22" t="s">
        <v>67</v>
      </c>
      <c r="C13" s="26" t="str">
        <f>DEC2HEX(HEX2DEC(C8)+4)</f>
        <v>C</v>
      </c>
      <c r="D13" s="23" t="s">
        <v>68</v>
      </c>
      <c r="E13" s="27" t="s">
        <v>55</v>
      </c>
      <c r="F13" s="28" t="s">
        <v>62</v>
      </c>
      <c r="G13" s="23" t="s">
        <v>84</v>
      </c>
      <c r="H13" s="29" t="s">
        <v>69</v>
      </c>
      <c r="I13" s="22" t="s">
        <v>117</v>
      </c>
      <c r="J13" s="30" t="s">
        <v>63</v>
      </c>
      <c r="K13" s="27" t="s">
        <v>70</v>
      </c>
    </row>
    <row r="14" spans="1:12" s="11" customFormat="1" ht="28.8">
      <c r="A14" s="22" t="s">
        <v>117</v>
      </c>
      <c r="B14" s="22" t="s">
        <v>78</v>
      </c>
      <c r="C14" s="26" t="str">
        <f t="shared" ref="C14:C15" si="1">DEC2HEX(HEX2DEC(C13)+4)</f>
        <v>10</v>
      </c>
      <c r="D14" s="23" t="s">
        <v>107</v>
      </c>
      <c r="E14" s="27" t="s">
        <v>55</v>
      </c>
      <c r="F14" s="28" t="s">
        <v>62</v>
      </c>
      <c r="G14" s="23" t="s">
        <v>84</v>
      </c>
      <c r="H14" s="29" t="s">
        <v>69</v>
      </c>
      <c r="I14" s="22" t="s">
        <v>117</v>
      </c>
      <c r="J14" s="30" t="s">
        <v>63</v>
      </c>
      <c r="K14" s="27"/>
    </row>
    <row r="15" spans="1:12" ht="14.4">
      <c r="A15" s="22" t="s">
        <v>117</v>
      </c>
      <c r="B15" s="22" t="s">
        <v>108</v>
      </c>
      <c r="C15" s="26" t="str">
        <f t="shared" si="1"/>
        <v>14</v>
      </c>
      <c r="D15" s="23" t="s">
        <v>75</v>
      </c>
      <c r="E15" s="22" t="s">
        <v>55</v>
      </c>
      <c r="F15" s="24" t="s">
        <v>62</v>
      </c>
      <c r="G15" s="23" t="s">
        <v>84</v>
      </c>
      <c r="H15" s="23" t="s">
        <v>71</v>
      </c>
      <c r="I15" s="22" t="s">
        <v>117</v>
      </c>
      <c r="J15" s="25" t="s">
        <v>63</v>
      </c>
      <c r="K15" s="22"/>
    </row>
    <row r="16" spans="1:12" ht="14.4">
      <c r="A16" s="31"/>
      <c r="B16" s="31" t="s">
        <v>108</v>
      </c>
      <c r="C16" s="32"/>
      <c r="D16" s="33" t="s">
        <v>76</v>
      </c>
      <c r="E16" s="31" t="s">
        <v>56</v>
      </c>
      <c r="F16" s="34" t="s">
        <v>73</v>
      </c>
      <c r="G16" s="31"/>
      <c r="H16" s="33" t="s">
        <v>71</v>
      </c>
      <c r="I16" s="35" t="s">
        <v>118</v>
      </c>
      <c r="J16" s="36" t="s">
        <v>72</v>
      </c>
      <c r="K16" s="31"/>
    </row>
    <row r="17" spans="1:11" ht="14.4">
      <c r="A17" s="31"/>
      <c r="B17" s="31" t="s">
        <v>109</v>
      </c>
      <c r="C17" s="32"/>
      <c r="D17" s="33" t="s">
        <v>74</v>
      </c>
      <c r="E17" s="31" t="s">
        <v>56</v>
      </c>
      <c r="F17" s="31">
        <v>31</v>
      </c>
      <c r="G17" s="31"/>
      <c r="H17" s="33" t="s">
        <v>71</v>
      </c>
      <c r="I17" s="35" t="s">
        <v>118</v>
      </c>
      <c r="J17" s="36" t="s">
        <v>53</v>
      </c>
      <c r="K17" s="31"/>
    </row>
    <row r="18" spans="1:11" ht="14.4">
      <c r="A18" s="22" t="s">
        <v>117</v>
      </c>
      <c r="B18" s="22" t="s">
        <v>110</v>
      </c>
      <c r="C18" s="26" t="str">
        <f>DEC2HEX(HEX2DEC(C15)+4)</f>
        <v>18</v>
      </c>
      <c r="D18" s="23" t="s">
        <v>111</v>
      </c>
      <c r="E18" s="22" t="s">
        <v>55</v>
      </c>
      <c r="F18" s="24" t="s">
        <v>62</v>
      </c>
      <c r="G18" s="23" t="s">
        <v>84</v>
      </c>
      <c r="H18" s="23" t="s">
        <v>71</v>
      </c>
      <c r="I18" s="22" t="s">
        <v>117</v>
      </c>
      <c r="J18" s="25" t="s">
        <v>63</v>
      </c>
      <c r="K18" s="22"/>
    </row>
    <row r="19" spans="1:11" ht="14.4">
      <c r="A19" s="31"/>
      <c r="B19" s="31" t="s">
        <v>112</v>
      </c>
      <c r="C19" s="32"/>
      <c r="D19" s="33" t="s">
        <v>77</v>
      </c>
      <c r="E19" s="31" t="s">
        <v>56</v>
      </c>
      <c r="F19" s="34" t="s">
        <v>73</v>
      </c>
      <c r="G19" s="31"/>
      <c r="H19" s="33" t="s">
        <v>71</v>
      </c>
      <c r="I19" s="35" t="s">
        <v>118</v>
      </c>
      <c r="J19" s="36" t="s">
        <v>72</v>
      </c>
      <c r="K19" s="31"/>
    </row>
    <row r="20" spans="1:11" ht="14.4">
      <c r="A20" s="31"/>
      <c r="B20" s="31" t="s">
        <v>113</v>
      </c>
      <c r="C20" s="32"/>
      <c r="D20" s="33" t="s">
        <v>74</v>
      </c>
      <c r="E20" s="31" t="s">
        <v>56</v>
      </c>
      <c r="F20" s="31">
        <v>31</v>
      </c>
      <c r="G20" s="31"/>
      <c r="H20" s="33" t="s">
        <v>71</v>
      </c>
      <c r="I20" s="35" t="s">
        <v>118</v>
      </c>
      <c r="J20" s="36" t="s">
        <v>53</v>
      </c>
      <c r="K20" s="31"/>
    </row>
    <row r="21" spans="1:11" ht="14.4">
      <c r="A21" s="22" t="s">
        <v>117</v>
      </c>
      <c r="B21" s="22" t="s">
        <v>119</v>
      </c>
      <c r="C21" s="26" t="str">
        <f>DEC2HEX(HEX2DEC(C18)+4)</f>
        <v>1C</v>
      </c>
      <c r="D21" s="23" t="s">
        <v>120</v>
      </c>
      <c r="E21" s="22" t="s">
        <v>55</v>
      </c>
      <c r="F21" s="24" t="s">
        <v>62</v>
      </c>
      <c r="G21" s="23" t="s">
        <v>84</v>
      </c>
      <c r="H21" s="23" t="s">
        <v>116</v>
      </c>
      <c r="I21" s="22" t="s">
        <v>117</v>
      </c>
      <c r="J21" s="25" t="s">
        <v>63</v>
      </c>
      <c r="K21" s="22"/>
    </row>
    <row r="22" spans="1:11" ht="14.4">
      <c r="A22" s="31"/>
      <c r="B22" s="31" t="s">
        <v>119</v>
      </c>
      <c r="C22" s="32"/>
      <c r="D22" s="33" t="s">
        <v>121</v>
      </c>
      <c r="E22" s="31" t="s">
        <v>56</v>
      </c>
      <c r="F22" s="34" t="s">
        <v>62</v>
      </c>
      <c r="G22" s="31"/>
      <c r="H22" s="33" t="s">
        <v>116</v>
      </c>
      <c r="I22" s="35" t="s">
        <v>118</v>
      </c>
      <c r="J22" s="36" t="s">
        <v>63</v>
      </c>
      <c r="K22" s="31"/>
    </row>
    <row r="23" spans="1:11" ht="14.4">
      <c r="A23" s="22" t="s">
        <v>117</v>
      </c>
      <c r="B23" s="22" t="s">
        <v>122</v>
      </c>
      <c r="C23" s="26" t="str">
        <f>DEC2HEX(HEX2DEC(C21)+4)</f>
        <v>20</v>
      </c>
      <c r="D23" s="23" t="s">
        <v>123</v>
      </c>
      <c r="E23" s="22" t="s">
        <v>55</v>
      </c>
      <c r="F23" s="24" t="s">
        <v>62</v>
      </c>
      <c r="G23" s="23" t="s">
        <v>84</v>
      </c>
      <c r="H23" s="23" t="s">
        <v>116</v>
      </c>
      <c r="I23" s="22" t="s">
        <v>117</v>
      </c>
      <c r="J23" s="25" t="s">
        <v>63</v>
      </c>
      <c r="K23" s="22"/>
    </row>
    <row r="24" spans="1:11" ht="14.4">
      <c r="A24" s="31"/>
      <c r="B24" s="31" t="s">
        <v>122</v>
      </c>
      <c r="C24" s="32"/>
      <c r="D24" s="33" t="s">
        <v>124</v>
      </c>
      <c r="E24" s="31" t="s">
        <v>56</v>
      </c>
      <c r="F24" s="34" t="s">
        <v>62</v>
      </c>
      <c r="G24" s="31"/>
      <c r="H24" s="33" t="s">
        <v>116</v>
      </c>
      <c r="I24" s="35" t="s">
        <v>118</v>
      </c>
      <c r="J24" s="36" t="s">
        <v>63</v>
      </c>
      <c r="K24" s="31" t="s">
        <v>125</v>
      </c>
    </row>
  </sheetData>
  <dataValidations count="1">
    <dataValidation type="list" allowBlank="1" showInputMessage="1" showErrorMessage="1" sqref="F2">
      <formula1>"Windows,Linux"</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Generate_Registers">
                <anchor moveWithCells="1" sizeWithCells="1">
                  <from>
                    <xdr:col>1</xdr:col>
                    <xdr:colOff>7620</xdr:colOff>
                    <xdr:row>0</xdr:row>
                    <xdr:rowOff>152400</xdr:rowOff>
                  </from>
                  <to>
                    <xdr:col>1</xdr:col>
                    <xdr:colOff>2209800</xdr:colOff>
                    <xdr:row>2</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New Module Generator</vt:lpstr>
      <vt:lpstr>Registers Generator</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2013-05-29T13:36:37Z</cp:lastPrinted>
  <dcterms:created xsi:type="dcterms:W3CDTF">2013-05-24T07:36:42Z</dcterms:created>
  <dcterms:modified xsi:type="dcterms:W3CDTF">2016-08-23T21:41:57Z</dcterms:modified>
</cp:coreProperties>
</file>